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Cadastramento" sheetId="1" r:id="rId4"/>
    <sheet state="hidden" name="Planilha1" sheetId="2" r:id="rId5"/>
    <sheet state="visible" name="2_disciplinasXturmas" sheetId="3" r:id="rId6"/>
    <sheet state="visible" name="3_professorXdisciplinas" sheetId="4" r:id="rId7"/>
    <sheet state="visible" name="4_qtd_aulas" sheetId="5" r:id="rId8"/>
    <sheet state="visible" name="5_folga" sheetId="6" r:id="rId9"/>
    <sheet state="visible" name="6_preferencias" sheetId="7" r:id="rId10"/>
    <sheet state="visible" name="7_restricoes_pontuais" sheetId="8" r:id="rId11"/>
    <sheet state="hidden" name="formularios" sheetId="9" r:id="rId12"/>
    <sheet state="hidden" name="Horário_turmas" sheetId="10" r:id="rId13"/>
    <sheet state="hidden" name="Horário_professor" sheetId="11" r:id="rId14"/>
    <sheet state="visible" name="Intersecao_disciplinas" sheetId="12" r:id="rId15"/>
    <sheet state="hidden" name="_listas" sheetId="13" r:id="rId16"/>
  </sheets>
  <definedNames>
    <definedName hidden="1" localSheetId="1" name="_xlnm._FilterDatabase">Planilha1!$A$1:$AA$1</definedName>
    <definedName hidden="1" localSheetId="7" name="_xlnm._FilterDatabase">'7_restricoes_pontuais'!$A$1:$J$52</definedName>
  </definedNames>
  <calcPr/>
  <extLst>
    <ext uri="GoogleSheetsCustomDataVersion2">
      <go:sheetsCustomData xmlns:go="http://customooxmlschemas.google.com/" r:id="rId17" roundtripDataChecksum="vuFQ9Ps2GSSCC4zBQhRT/ogPXahecEZosXf+8lIn1Ys="/>
    </ext>
  </extLst>
</workbook>
</file>

<file path=xl/sharedStrings.xml><?xml version="1.0" encoding="utf-8"?>
<sst xmlns="http://schemas.openxmlformats.org/spreadsheetml/2006/main" count="2270" uniqueCount="209">
  <si>
    <t>Dados iniciais</t>
  </si>
  <si>
    <t>Insira o nome dos professores</t>
  </si>
  <si>
    <t>Insira o nome das turmas (por exemplo: 7 Ano A)</t>
  </si>
  <si>
    <t>Turno</t>
  </si>
  <si>
    <t>Insira o nome das disciplinas (por exemplo: matemática)</t>
  </si>
  <si>
    <t>Insira os todos os intervalos</t>
  </si>
  <si>
    <t>Recreio ou almoço/jantar?</t>
  </si>
  <si>
    <t>ACT- MTM</t>
  </si>
  <si>
    <t>Matutino</t>
  </si>
  <si>
    <t>Arte</t>
  </si>
  <si>
    <t>Entre a 3ª e 4ª aula</t>
  </si>
  <si>
    <t>Recreio</t>
  </si>
  <si>
    <t>ACT_EM</t>
  </si>
  <si>
    <t>Ciên</t>
  </si>
  <si>
    <t>Entre a 5ª e 6ª aula</t>
  </si>
  <si>
    <t>Almoço</t>
  </si>
  <si>
    <t>ACT_PLE</t>
  </si>
  <si>
    <t>Vespertino</t>
  </si>
  <si>
    <t>Ed.Fís</t>
  </si>
  <si>
    <t>Entre a 8ª e 9ª aula</t>
  </si>
  <si>
    <t>ACT_PORT</t>
  </si>
  <si>
    <t>Geo</t>
  </si>
  <si>
    <t>ACT_HIST1</t>
  </si>
  <si>
    <t>His</t>
  </si>
  <si>
    <t>ACT_HIST2</t>
  </si>
  <si>
    <t>Integral</t>
  </si>
  <si>
    <t>Ing</t>
  </si>
  <si>
    <t>ADELIDIO</t>
  </si>
  <si>
    <t>Lab.Ciê</t>
  </si>
  <si>
    <t>AGNES</t>
  </si>
  <si>
    <t>Mat</t>
  </si>
  <si>
    <t>ALINE</t>
  </si>
  <si>
    <t>Port</t>
  </si>
  <si>
    <t>ANA LUCIA</t>
  </si>
  <si>
    <t>Regencia</t>
  </si>
  <si>
    <t>ANA LUIZA</t>
  </si>
  <si>
    <t>Tecn</t>
  </si>
  <si>
    <t>AUX_LET</t>
  </si>
  <si>
    <t>Arte2</t>
  </si>
  <si>
    <t>AUX_NUM</t>
  </si>
  <si>
    <t>LET</t>
  </si>
  <si>
    <t>CAMILA</t>
  </si>
  <si>
    <t>NUM</t>
  </si>
  <si>
    <t>CHRISTELLE</t>
  </si>
  <si>
    <t>SUS</t>
  </si>
  <si>
    <t>CINTIA</t>
  </si>
  <si>
    <t>EM</t>
  </si>
  <si>
    <t>DELSON</t>
  </si>
  <si>
    <t>PLE</t>
  </si>
  <si>
    <t>DOUGLAS</t>
  </si>
  <si>
    <t>EDILMA</t>
  </si>
  <si>
    <t>EDUARDO</t>
  </si>
  <si>
    <t>EMANUELE</t>
  </si>
  <si>
    <t>FABIANO</t>
  </si>
  <si>
    <t>FERNANDA</t>
  </si>
  <si>
    <t>GIANE</t>
  </si>
  <si>
    <t>GRAYCE</t>
  </si>
  <si>
    <t>GREYCE</t>
  </si>
  <si>
    <t>GUSTAVO</t>
  </si>
  <si>
    <t>HELENA</t>
  </si>
  <si>
    <t>JULIANE</t>
  </si>
  <si>
    <t>LOELIA</t>
  </si>
  <si>
    <t>MARIA LUIZA</t>
  </si>
  <si>
    <t>MARIANA</t>
  </si>
  <si>
    <t>MAURA</t>
  </si>
  <si>
    <t>PRISCILA</t>
  </si>
  <si>
    <t>SAMANTA</t>
  </si>
  <si>
    <t>SIMONE</t>
  </si>
  <si>
    <t>TAINA</t>
  </si>
  <si>
    <t>THIAGO</t>
  </si>
  <si>
    <t>TUANI</t>
  </si>
  <si>
    <t>VANDERLANE</t>
  </si>
  <si>
    <t>VINICIUS</t>
  </si>
  <si>
    <t>VIVIANE</t>
  </si>
  <si>
    <t>11 Maria Luiza</t>
  </si>
  <si>
    <t>12 Emanuelle</t>
  </si>
  <si>
    <t>21 Giane</t>
  </si>
  <si>
    <t>23 Simone</t>
  </si>
  <si>
    <t>31 Mariana</t>
  </si>
  <si>
    <t>32 Vanderlane</t>
  </si>
  <si>
    <t>41 Samantha</t>
  </si>
  <si>
    <t>51 Ana Lucia</t>
  </si>
  <si>
    <t>52 Grayce</t>
  </si>
  <si>
    <t>53 Tuani</t>
  </si>
  <si>
    <t>13 Maria Luiza</t>
  </si>
  <si>
    <t>22 Giane</t>
  </si>
  <si>
    <t>33 Vanderlane</t>
  </si>
  <si>
    <t>42 Cintia</t>
  </si>
  <si>
    <t>43 Tainá</t>
  </si>
  <si>
    <t>Greyce(Tecn)</t>
  </si>
  <si>
    <t>Ana Luiza(Arte)</t>
  </si>
  <si>
    <t>Douglas(Ing)</t>
  </si>
  <si>
    <t>Priscila(Ed.Fís)</t>
  </si>
  <si>
    <t>Regente</t>
  </si>
  <si>
    <t>Helena(Ing)</t>
  </si>
  <si>
    <t>Loelia(Arte)</t>
  </si>
  <si>
    <t>Eduardo(Ed.Fís)</t>
  </si>
  <si>
    <t>Delson(Tecn)</t>
  </si>
  <si>
    <t>Camila(Ing)</t>
  </si>
  <si>
    <t>ACT(His)</t>
  </si>
  <si>
    <t>Christelle(Ing)</t>
  </si>
  <si>
    <t>Viviane(Ciên)</t>
  </si>
  <si>
    <t>Adelidio(Geo)</t>
  </si>
  <si>
    <t>Gustavo(Geo)</t>
  </si>
  <si>
    <t>Aline(Port)</t>
  </si>
  <si>
    <t>Juliane(Ciên)</t>
  </si>
  <si>
    <t>Helena(Port)</t>
  </si>
  <si>
    <t>Fabiano(Ed.Fís)</t>
  </si>
  <si>
    <t>Edilma(Lab.Ciê)</t>
  </si>
  <si>
    <t>Agnes(Port)</t>
  </si>
  <si>
    <t>Fernanda(EM)</t>
  </si>
  <si>
    <t>Maura(Mat)</t>
  </si>
  <si>
    <t>ACT(Mat)</t>
  </si>
  <si>
    <t>Fernanda(Mat)</t>
  </si>
  <si>
    <t>Vinicius(Arte)</t>
  </si>
  <si>
    <t>Tiago(Ing)</t>
  </si>
  <si>
    <t>ACT 2(His)</t>
  </si>
  <si>
    <t>Helena(PLE)</t>
  </si>
  <si>
    <t>Agnes(PLE)</t>
  </si>
  <si>
    <t>Instrução: Na célula relativa à disciplina/turma, insira a carga horária semanal.</t>
  </si>
  <si>
    <t>disciplinas/turmas</t>
  </si>
  <si>
    <t/>
  </si>
  <si>
    <t>Intrução: selecione o professor que ministra cada disciplina em cada turma.</t>
  </si>
  <si>
    <t>Disciplinas</t>
  </si>
  <si>
    <t>Insira a qtd de aulas que cada turma tem em cada dia da semana</t>
  </si>
  <si>
    <t>Dia da semana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</si>
  <si>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</si>
  <si>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</si>
  <si>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</si>
  <si>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</si>
  <si>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</si>
  <si>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</si>
  <si>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</si>
  <si>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Indique, numa escala de 0 a 2, a preferência por vir trabalhar. Entenda o "0" como a impossibildade de vir, "2" como sendo a preferência máxima de trabalhar nesse dia e "1" como indiferente.</t>
  </si>
  <si>
    <t>Nomes</t>
  </si>
  <si>
    <t>Turno 1</t>
  </si>
  <si>
    <t>Turno 2</t>
  </si>
  <si>
    <t>Turno 3</t>
  </si>
  <si>
    <t>Preferências: Sim, Não ou Indiferente</t>
  </si>
  <si>
    <t>Prefere ministrar 1° aula?</t>
  </si>
  <si>
    <t>Prefere ministrar ultima aula?</t>
  </si>
  <si>
    <t>Aula dupla</t>
  </si>
  <si>
    <t>Indiferente</t>
  </si>
  <si>
    <t>Imposição</t>
  </si>
  <si>
    <t>Proibição</t>
  </si>
  <si>
    <t>Professor</t>
  </si>
  <si>
    <t>Turma</t>
  </si>
  <si>
    <t>Dia</t>
  </si>
  <si>
    <t>Horário</t>
  </si>
  <si>
    <t>Disciplina</t>
  </si>
  <si>
    <t>ADALGIZA</t>
  </si>
  <si>
    <t>6° A</t>
  </si>
  <si>
    <t>7ª aula</t>
  </si>
  <si>
    <t>ESTUDO ORIENTADO E AVALIAÇÃO SEMANAL - EF</t>
  </si>
  <si>
    <t>DANILO</t>
  </si>
  <si>
    <t>Todas</t>
  </si>
  <si>
    <t>Todos</t>
  </si>
  <si>
    <t>6ª aula</t>
  </si>
  <si>
    <t>8ª aula</t>
  </si>
  <si>
    <t>ALESSANDRA</t>
  </si>
  <si>
    <t>9ª aula</t>
  </si>
  <si>
    <t>PAULA</t>
  </si>
  <si>
    <t>6° B</t>
  </si>
  <si>
    <t>PAMELLA</t>
  </si>
  <si>
    <t>7° A</t>
  </si>
  <si>
    <t>CAMILE</t>
  </si>
  <si>
    <t>8° A</t>
  </si>
  <si>
    <t>SÔNIA</t>
  </si>
  <si>
    <t>8° B</t>
  </si>
  <si>
    <t>IAGO</t>
  </si>
  <si>
    <t>9° A</t>
  </si>
  <si>
    <t>DEUSENY</t>
  </si>
  <si>
    <t>9° B</t>
  </si>
  <si>
    <t>JAINI</t>
  </si>
  <si>
    <t>1° A</t>
  </si>
  <si>
    <t>ESTUDO ORIENTADO E AVALIAÇÃO SEMANAL - EM</t>
  </si>
  <si>
    <t>LIDIANE</t>
  </si>
  <si>
    <t>2° A</t>
  </si>
  <si>
    <t>3° A</t>
  </si>
  <si>
    <t>4ª aula</t>
  </si>
  <si>
    <t>DISCIPLINA ELETIVA</t>
  </si>
  <si>
    <t>5ª aula</t>
  </si>
  <si>
    <t>EDITH</t>
  </si>
  <si>
    <t>ALESSANDRA C</t>
  </si>
  <si>
    <t>MARLI</t>
  </si>
  <si>
    <t>ELETIVA DE BASE</t>
  </si>
  <si>
    <t>DANIELLA</t>
  </si>
  <si>
    <t>Aulas da disciplina na turma</t>
  </si>
  <si>
    <t>Peso da preferencia</t>
  </si>
  <si>
    <t>Sim/Não</t>
  </si>
  <si>
    <t>-</t>
  </si>
  <si>
    <t>Sim</t>
  </si>
  <si>
    <t>Entre a 1ª e 2ª aula</t>
  </si>
  <si>
    <t>Não</t>
  </si>
  <si>
    <t>Entre a 2ª e 3ª aula</t>
  </si>
  <si>
    <t>Entre a 4ª e 5ª aula</t>
  </si>
  <si>
    <t>Entre a 6ª e 7ª aula</t>
  </si>
  <si>
    <t>Entre a 7ª e 8ª aula</t>
  </si>
  <si>
    <t>Entre a 9ª e 10ª aula</t>
  </si>
  <si>
    <t>Entre a 10ª e 11ª aula</t>
  </si>
  <si>
    <t>Entre a 11ª e 12ª aula</t>
  </si>
  <si>
    <t>Entre a 12ª e 13ª aula</t>
  </si>
  <si>
    <t>Entre a 13ª e 14ª aula</t>
  </si>
  <si>
    <t>Entre a 14ª e 15ª aula</t>
  </si>
  <si>
    <t>Entre a 15ª e 16ª aula</t>
  </si>
  <si>
    <t>Não tem</t>
  </si>
  <si>
    <t>Disciplina A</t>
  </si>
  <si>
    <t>Disciplina B</t>
  </si>
  <si>
    <t>Aulas em comum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</si>
</sst>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sz val="22.0"/>
      <color theme="1"/>
      <name val="Calibri"/>
    </font>
    <font/>
    <font>
      <sz val="11.0"/>
      <color theme="1"/>
      <name val="Calibri"/>
    </font>
    <font>
      <b/>
      <sz val="16.0"/>
      <color rgb="FF000000"/>
      <name val="Calibri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b/>
      <sz val="16.0"/>
      <color theme="1"/>
      <name val="Calibri"/>
    </font>
    <font>
      <b/>
      <i/>
      <sz val="10.0"/>
      <color rgb="FF000000"/>
      <name val="Calibri"/>
    </font>
    <font>
      <b/>
      <i/>
      <sz val="11.0"/>
      <color theme="1"/>
      <name val="Calibri"/>
    </font>
    <font>
      <b/>
      <i/>
      <sz val="11.0"/>
      <color rgb="FF000000"/>
      <name val="Calibri"/>
    </font>
    <font>
      <sz val="11.0"/>
      <color rgb="FF000000"/>
      <name val="Calibri"/>
    </font>
    <font>
      <b/>
      <i/>
      <sz val="8.0"/>
      <color rgb="FF000000"/>
      <name val="Calibri"/>
    </font>
    <font>
      <b/>
      <sz val="11.0"/>
      <color theme="1"/>
      <name val="Calibri"/>
    </font>
    <font>
      <sz val="18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C4BD97"/>
        <bgColor rgb="FFC4BD97"/>
      </patternFill>
    </fill>
    <fill>
      <patternFill patternType="solid">
        <fgColor rgb="FFEAF1DD"/>
        <bgColor rgb="FFEAF1DD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</fills>
  <borders count="32">
    <border/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vertical="center"/>
    </xf>
    <xf borderId="3" fillId="0" fontId="4" numFmtId="0" xfId="0" applyAlignment="1" applyBorder="1" applyFont="1">
      <alignment horizontal="left" shrinkToFit="0" vertical="center" wrapText="1"/>
    </xf>
    <xf borderId="4" fillId="3" fontId="1" numFmtId="0" xfId="0" applyAlignment="1" applyBorder="1" applyFill="1" applyFont="1">
      <alignment vertical="center"/>
    </xf>
    <xf borderId="3" fillId="0" fontId="4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3" fillId="0" fontId="3" numFmtId="0" xfId="0" applyAlignment="1" applyBorder="1" applyFont="1">
      <alignment horizontal="left"/>
    </xf>
    <xf borderId="3" fillId="0" fontId="3" numFmtId="0" xfId="0" applyAlignment="1" applyBorder="1" applyFont="1">
      <alignment horizontal="center"/>
    </xf>
    <xf borderId="3" fillId="0" fontId="3" numFmtId="0" xfId="0" applyBorder="1" applyFont="1"/>
    <xf borderId="3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quotePrefix="1" borderId="3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3" fontId="1" numFmtId="0" xfId="0" applyAlignment="1" applyBorder="1" applyFont="1">
      <alignment vertical="center"/>
    </xf>
    <xf borderId="3" fillId="3" fontId="1" numFmtId="0" xfId="0" applyAlignment="1" applyBorder="1" applyFont="1">
      <alignment vertical="center"/>
    </xf>
    <xf borderId="8" fillId="3" fontId="3" numFmtId="0" xfId="0" applyAlignment="1" applyBorder="1" applyFont="1">
      <alignment vertical="center"/>
    </xf>
    <xf borderId="3" fillId="0" fontId="3" numFmtId="0" xfId="0" applyAlignment="1" applyBorder="1" applyFont="1">
      <alignment horizontal="left" vertical="center"/>
    </xf>
    <xf borderId="0" fillId="0" fontId="3" numFmtId="0" xfId="0" applyFont="1"/>
    <xf borderId="3" fillId="0" fontId="5" numFmtId="0" xfId="0" applyAlignment="1" applyBorder="1" applyFont="1">
      <alignment horizontal="left" vertical="center"/>
    </xf>
    <xf borderId="3" fillId="0" fontId="5" numFmtId="0" xfId="0" applyAlignment="1" applyBorder="1" applyFont="1">
      <alignment horizontal="left"/>
    </xf>
    <xf borderId="3" fillId="0" fontId="6" numFmtId="0" xfId="0" applyAlignment="1" applyBorder="1" applyFont="1">
      <alignment horizontal="left" vertical="center"/>
    </xf>
    <xf borderId="3" fillId="3" fontId="7" numFmtId="0" xfId="0" applyAlignment="1" applyBorder="1" applyFont="1">
      <alignment horizontal="left"/>
    </xf>
    <xf borderId="3" fillId="4" fontId="7" numFmtId="0" xfId="0" applyAlignment="1" applyBorder="1" applyFill="1" applyFont="1">
      <alignment horizontal="left"/>
    </xf>
    <xf borderId="3" fillId="5" fontId="7" numFmtId="0" xfId="0" applyAlignment="1" applyBorder="1" applyFill="1" applyFont="1">
      <alignment horizontal="left"/>
    </xf>
    <xf borderId="3" fillId="6" fontId="7" numFmtId="0" xfId="0" applyAlignment="1" applyBorder="1" applyFill="1" applyFont="1">
      <alignment horizontal="left"/>
    </xf>
    <xf borderId="3" fillId="0" fontId="7" numFmtId="0" xfId="0" applyAlignment="1" applyBorder="1" applyFont="1">
      <alignment horizontal="left"/>
    </xf>
    <xf borderId="3" fillId="7" fontId="7" numFmtId="0" xfId="0" applyAlignment="1" applyBorder="1" applyFill="1" applyFont="1">
      <alignment horizontal="left"/>
    </xf>
    <xf borderId="3" fillId="8" fontId="7" numFmtId="0" xfId="0" applyAlignment="1" applyBorder="1" applyFill="1" applyFont="1">
      <alignment horizontal="left"/>
    </xf>
    <xf borderId="3" fillId="9" fontId="7" numFmtId="0" xfId="0" applyAlignment="1" applyBorder="1" applyFill="1" applyFont="1">
      <alignment horizontal="left"/>
    </xf>
    <xf borderId="3" fillId="10" fontId="7" numFmtId="0" xfId="0" applyAlignment="1" applyBorder="1" applyFill="1" applyFont="1">
      <alignment horizontal="left"/>
    </xf>
    <xf borderId="3" fillId="9" fontId="7" numFmtId="0" xfId="0" applyAlignment="1" applyBorder="1" applyFont="1">
      <alignment horizontal="left" vertical="center"/>
    </xf>
    <xf borderId="3" fillId="11" fontId="7" numFmtId="0" xfId="0" applyAlignment="1" applyBorder="1" applyFill="1" applyFont="1">
      <alignment horizontal="left"/>
    </xf>
    <xf borderId="3" fillId="5" fontId="8" numFmtId="0" xfId="0" applyAlignment="1" applyBorder="1" applyFont="1">
      <alignment horizontal="left" vertical="center"/>
    </xf>
    <xf borderId="9" fillId="0" fontId="7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9" fillId="0" fontId="9" numFmtId="0" xfId="0" applyAlignment="1" applyBorder="1" applyFont="1">
      <alignment horizontal="left" shrinkToFit="0" vertical="center" wrapText="1"/>
    </xf>
    <xf borderId="10" fillId="0" fontId="2" numFmtId="0" xfId="0" applyBorder="1" applyFont="1"/>
    <xf borderId="6" fillId="0" fontId="2" numFmtId="0" xfId="0" applyBorder="1" applyFont="1"/>
    <xf borderId="3" fillId="12" fontId="10" numFmtId="0" xfId="0" applyAlignment="1" applyBorder="1" applyFill="1" applyFont="1">
      <alignment horizontal="left" vertical="center"/>
    </xf>
    <xf borderId="11" fillId="12" fontId="3" numFmtId="0" xfId="0" applyAlignment="1" applyBorder="1" applyFont="1">
      <alignment horizontal="center"/>
    </xf>
    <xf borderId="3" fillId="12" fontId="3" numFmtId="0" xfId="0" applyAlignment="1" applyBorder="1" applyFont="1">
      <alignment horizontal="center"/>
    </xf>
    <xf borderId="8" fillId="12" fontId="3" numFmtId="0" xfId="0" applyAlignment="1" applyBorder="1" applyFont="1">
      <alignment horizontal="center"/>
    </xf>
    <xf borderId="3" fillId="12" fontId="11" numFmtId="0" xfId="0" applyBorder="1" applyFont="1"/>
    <xf borderId="3" fillId="9" fontId="11" numFmtId="0" xfId="0" applyBorder="1" applyFont="1"/>
    <xf borderId="11" fillId="9" fontId="3" numFmtId="0" xfId="0" applyAlignment="1" applyBorder="1" applyFont="1">
      <alignment horizontal="center" vertical="center"/>
    </xf>
    <xf borderId="3" fillId="9" fontId="3" numFmtId="0" xfId="0" applyAlignment="1" applyBorder="1" applyFont="1">
      <alignment horizontal="center" vertical="center"/>
    </xf>
    <xf borderId="8" fillId="9" fontId="3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left" vertical="center"/>
    </xf>
    <xf borderId="3" fillId="12" fontId="12" numFmtId="0" xfId="0" applyAlignment="1" applyBorder="1" applyFont="1">
      <alignment horizontal="left" vertical="center"/>
    </xf>
    <xf borderId="3" fillId="12" fontId="13" numFmtId="0" xfId="0" applyAlignment="1" applyBorder="1" applyFont="1">
      <alignment horizontal="center"/>
    </xf>
    <xf borderId="3" fillId="12" fontId="12" numFmtId="0" xfId="0" applyAlignment="1" applyBorder="1" applyFont="1">
      <alignment horizontal="center"/>
    </xf>
    <xf borderId="8" fillId="12" fontId="12" numFmtId="0" xfId="0" applyAlignment="1" applyBorder="1" applyFont="1">
      <alignment horizontal="center"/>
    </xf>
    <xf borderId="3" fillId="12" fontId="11" numFmtId="0" xfId="0" applyAlignment="1" applyBorder="1" applyFont="1">
      <alignment horizontal="left" vertical="center"/>
    </xf>
    <xf borderId="0" fillId="0" fontId="3" numFmtId="0" xfId="0" applyAlignment="1" applyFont="1">
      <alignment horizontal="center"/>
    </xf>
    <xf borderId="3" fillId="9" fontId="11" numFmtId="0" xfId="0" applyAlignment="1" applyBorder="1" applyFont="1">
      <alignment horizontal="left" vertical="center"/>
    </xf>
    <xf borderId="3" fillId="9" fontId="3" numFmtId="0" xfId="0" applyAlignment="1" applyBorder="1" applyFont="1">
      <alignment horizontal="center"/>
    </xf>
    <xf borderId="8" fillId="9" fontId="3" numFmtId="0" xfId="0" applyAlignment="1" applyBorder="1" applyFont="1">
      <alignment horizontal="center"/>
    </xf>
    <xf borderId="8" fillId="12" fontId="11" numFmtId="0" xfId="0" applyAlignment="1" applyBorder="1" applyFont="1">
      <alignment horizontal="left" vertical="center"/>
    </xf>
    <xf borderId="0" fillId="0" fontId="9" numFmtId="0" xfId="0" applyAlignment="1" applyFont="1">
      <alignment horizontal="left" shrinkToFit="0" vertical="center" wrapText="1"/>
    </xf>
    <xf borderId="8" fillId="12" fontId="14" numFmtId="0" xfId="0" applyAlignment="1" applyBorder="1" applyFont="1">
      <alignment horizontal="left" vertical="center"/>
    </xf>
    <xf borderId="8" fillId="12" fontId="14" numFmtId="0" xfId="0" applyAlignment="1" applyBorder="1" applyFont="1">
      <alignment horizontal="center"/>
    </xf>
    <xf borderId="8" fillId="12" fontId="11" numFmtId="0" xfId="0" applyAlignment="1" applyBorder="1" applyFont="1">
      <alignment horizontal="left"/>
    </xf>
    <xf borderId="0" fillId="0" fontId="4" numFmtId="0" xfId="0" applyAlignment="1" applyFont="1">
      <alignment horizontal="left" shrinkToFit="0" vertical="center" wrapText="1"/>
    </xf>
    <xf borderId="9" fillId="13" fontId="4" numFmtId="0" xfId="0" applyAlignment="1" applyBorder="1" applyFill="1" applyFont="1">
      <alignment horizontal="center" shrinkToFit="0" vertical="center" wrapText="1"/>
    </xf>
    <xf borderId="12" fillId="13" fontId="4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13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/>
    </xf>
    <xf borderId="17" fillId="0" fontId="3" numFmtId="0" xfId="0" applyAlignment="1" applyBorder="1" applyFont="1">
      <alignment horizontal="center"/>
    </xf>
    <xf borderId="18" fillId="0" fontId="3" numFmtId="0" xfId="0" applyAlignment="1" applyBorder="1" applyFont="1">
      <alignment horizontal="center"/>
    </xf>
    <xf borderId="19" fillId="0" fontId="3" numFmtId="0" xfId="0" applyAlignment="1" applyBorder="1" applyFont="1">
      <alignment horizontal="center"/>
    </xf>
    <xf borderId="20" fillId="0" fontId="3" numFmtId="0" xfId="0" applyAlignment="1" applyBorder="1" applyFont="1">
      <alignment horizontal="center"/>
    </xf>
    <xf borderId="21" fillId="0" fontId="3" numFmtId="0" xfId="0" applyAlignment="1" applyBorder="1" applyFont="1">
      <alignment horizontal="center"/>
    </xf>
    <xf borderId="22" fillId="0" fontId="3" numFmtId="0" xfId="0" applyAlignment="1" applyBorder="1" applyFont="1">
      <alignment horizontal="center"/>
    </xf>
    <xf borderId="23" fillId="0" fontId="3" numFmtId="0" xfId="0" applyAlignment="1" applyBorder="1" applyFont="1">
      <alignment horizontal="center"/>
    </xf>
    <xf borderId="24" fillId="0" fontId="3" numFmtId="0" xfId="0" applyAlignment="1" applyBorder="1" applyFont="1">
      <alignment horizontal="center"/>
    </xf>
    <xf borderId="25" fillId="0" fontId="3" numFmtId="0" xfId="0" applyAlignment="1" applyBorder="1" applyFont="1">
      <alignment horizontal="center"/>
    </xf>
    <xf borderId="26" fillId="0" fontId="3" numFmtId="0" xfId="0" applyAlignment="1" applyBorder="1" applyFont="1">
      <alignment horizontal="center"/>
    </xf>
    <xf borderId="27" fillId="0" fontId="3" numFmtId="0" xfId="0" applyAlignment="1" applyBorder="1" applyFont="1">
      <alignment horizontal="center"/>
    </xf>
    <xf borderId="0" fillId="0" fontId="3" numFmtId="0" xfId="0" applyAlignment="1" applyFont="1">
      <alignment horizontal="left" vertical="center"/>
    </xf>
    <xf borderId="0" fillId="0" fontId="9" numFmtId="0" xfId="0" applyAlignment="1" applyFont="1">
      <alignment horizontal="center" vertical="center"/>
    </xf>
    <xf borderId="0" fillId="0" fontId="3" numFmtId="0" xfId="0" applyAlignment="1" applyFont="1">
      <alignment vertical="top"/>
    </xf>
    <xf borderId="3" fillId="0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3" fillId="9" fontId="3" numFmtId="0" xfId="0" applyAlignment="1" applyBorder="1" applyFont="1">
      <alignment horizontal="left"/>
    </xf>
    <xf borderId="8" fillId="9" fontId="3" numFmtId="0" xfId="0" applyBorder="1" applyFont="1"/>
    <xf borderId="28" fillId="14" fontId="16" numFmtId="0" xfId="0" applyAlignment="1" applyBorder="1" applyFill="1" applyFont="1">
      <alignment horizontal="center" vertical="center"/>
    </xf>
    <xf borderId="29" fillId="0" fontId="2" numFmtId="0" xfId="0" applyBorder="1" applyFont="1"/>
    <xf borderId="30" fillId="15" fontId="16" numFmtId="0" xfId="0" applyAlignment="1" applyBorder="1" applyFill="1" applyFont="1">
      <alignment horizontal="center" vertical="center"/>
    </xf>
    <xf borderId="31" fillId="0" fontId="2" numFmtId="0" xfId="0" applyBorder="1" applyFont="1"/>
    <xf borderId="7" fillId="14" fontId="3" numFmtId="0" xfId="0" applyAlignment="1" applyBorder="1" applyFont="1">
      <alignment horizontal="center"/>
    </xf>
    <xf borderId="7" fillId="15" fontId="3" numFmtId="0" xfId="0" applyAlignment="1" applyBorder="1" applyFont="1">
      <alignment horizontal="center"/>
    </xf>
    <xf borderId="3" fillId="14" fontId="3" numFmtId="0" xfId="0" applyBorder="1" applyFont="1"/>
    <xf borderId="3" fillId="15" fontId="3" numFmtId="0" xfId="0" applyBorder="1" applyFont="1"/>
    <xf borderId="3" fillId="0" fontId="1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right" shrinkToFit="0" wrapText="1"/>
    </xf>
    <xf borderId="0" fillId="0" fontId="18" numFmtId="0" xfId="0" applyAlignment="1" applyFont="1">
      <alignment shrinkToFit="0" wrapText="1"/>
    </xf>
    <xf borderId="3" fillId="0" fontId="18" numFmtId="0" xfId="0" applyAlignment="1" applyBorder="1" applyFont="1">
      <alignment shrinkToFit="0" wrapText="1"/>
    </xf>
    <xf borderId="0" fillId="0" fontId="19" numFmtId="0" xfId="0" applyFont="1"/>
    <xf borderId="0" fillId="0" fontId="3" numFmtId="0" xfId="0" applyAlignment="1" applyFont="1">
      <alignment horizontal="right"/>
    </xf>
    <xf borderId="3" fillId="0" fontId="18" numFmtId="0" xfId="0" applyAlignment="1" applyBorder="1" applyFont="1">
      <alignment horizontal="center" shrinkToFit="0" wrapText="1"/>
    </xf>
    <xf borderId="0" fillId="0" fontId="18" numFmtId="0" xfId="0" applyAlignment="1" applyFont="1">
      <alignment horizontal="center" shrinkToFit="0" wrapText="1"/>
    </xf>
    <xf borderId="3" fillId="0" fontId="20" numFmtId="0" xfId="0" applyAlignment="1" applyBorder="1" applyFont="1">
      <alignment horizontal="center" vertical="top"/>
    </xf>
    <xf borderId="0" fillId="0" fontId="21" numFmtId="0" xfId="0" applyAlignment="1" applyFont="1">
      <alignment readingOrder="0"/>
    </xf>
    <xf borderId="0" fillId="0" fontId="21" numFmtId="0" xfId="0" applyFont="1"/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8.0"/>
    <col customWidth="1" min="3" max="3" width="24.43"/>
    <col customWidth="1" min="4" max="4" width="14.14"/>
    <col customWidth="1" min="5" max="5" width="8.0"/>
    <col customWidth="1" min="6" max="6" width="29.71"/>
    <col customWidth="1" min="7" max="7" width="8.0"/>
    <col customWidth="1" min="8" max="8" width="20.86"/>
    <col customWidth="1" min="9" max="9" width="20.0"/>
    <col customWidth="1" min="10" max="26" width="8.86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80.25" customHeight="1">
      <c r="A2" s="4" t="s">
        <v>1</v>
      </c>
      <c r="B2" s="5"/>
      <c r="C2" s="6" t="s">
        <v>2</v>
      </c>
      <c r="D2" s="6" t="s">
        <v>3</v>
      </c>
      <c r="E2" s="5"/>
      <c r="F2" s="6" t="s">
        <v>4</v>
      </c>
      <c r="G2" s="7"/>
      <c r="H2" s="6" t="s">
        <v>5</v>
      </c>
      <c r="I2" s="6" t="s">
        <v>6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9" t="s">
        <v>7</v>
      </c>
      <c r="B3" s="5"/>
      <c r="C3" s="10">
        <v>11.0</v>
      </c>
      <c r="D3" s="11" t="s">
        <v>8</v>
      </c>
      <c r="E3" s="5"/>
      <c r="F3" s="10" t="s">
        <v>9</v>
      </c>
      <c r="G3" s="7"/>
      <c r="H3" s="12" t="s">
        <v>10</v>
      </c>
      <c r="I3" s="13" t="s">
        <v>11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9" t="s">
        <v>12</v>
      </c>
      <c r="B4" s="5"/>
      <c r="C4" s="10">
        <v>12.0</v>
      </c>
      <c r="D4" s="11" t="s">
        <v>8</v>
      </c>
      <c r="E4" s="5"/>
      <c r="F4" s="10" t="s">
        <v>13</v>
      </c>
      <c r="G4" s="7"/>
      <c r="H4" s="12" t="s">
        <v>14</v>
      </c>
      <c r="I4" s="13" t="s">
        <v>15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9" t="s">
        <v>16</v>
      </c>
      <c r="B5" s="5"/>
      <c r="C5" s="10">
        <v>13.0</v>
      </c>
      <c r="D5" s="11" t="s">
        <v>17</v>
      </c>
      <c r="E5" s="5"/>
      <c r="F5" s="10" t="s">
        <v>18</v>
      </c>
      <c r="G5" s="7"/>
      <c r="H5" s="12" t="s">
        <v>19</v>
      </c>
      <c r="I5" s="13" t="s">
        <v>11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9" t="s">
        <v>20</v>
      </c>
      <c r="B6" s="5"/>
      <c r="C6" s="10">
        <v>21.0</v>
      </c>
      <c r="D6" s="11" t="s">
        <v>8</v>
      </c>
      <c r="E6" s="5"/>
      <c r="F6" s="10" t="s">
        <v>21</v>
      </c>
      <c r="G6" s="7"/>
      <c r="H6" s="3"/>
      <c r="I6" s="1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9" t="s">
        <v>22</v>
      </c>
      <c r="B7" s="5"/>
      <c r="C7" s="10">
        <v>22.0</v>
      </c>
      <c r="D7" s="11" t="s">
        <v>17</v>
      </c>
      <c r="E7" s="5"/>
      <c r="F7" s="10" t="s">
        <v>23</v>
      </c>
      <c r="G7" s="7"/>
      <c r="H7" s="3"/>
      <c r="I7" s="1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9" t="s">
        <v>24</v>
      </c>
      <c r="B8" s="5"/>
      <c r="C8" s="10">
        <v>23.0</v>
      </c>
      <c r="D8" s="11" t="s">
        <v>25</v>
      </c>
      <c r="E8" s="5"/>
      <c r="F8" s="10" t="s">
        <v>26</v>
      </c>
      <c r="G8" s="7"/>
      <c r="H8" s="3"/>
      <c r="I8" s="1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9" t="s">
        <v>27</v>
      </c>
      <c r="B9" s="5"/>
      <c r="C9" s="10">
        <v>31.0</v>
      </c>
      <c r="D9" s="11" t="s">
        <v>8</v>
      </c>
      <c r="E9" s="5"/>
      <c r="F9" s="10" t="s">
        <v>28</v>
      </c>
      <c r="G9" s="7"/>
      <c r="H9" s="3"/>
      <c r="I9" s="1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9" t="s">
        <v>29</v>
      </c>
      <c r="B10" s="5"/>
      <c r="C10" s="10">
        <v>32.0</v>
      </c>
      <c r="D10" s="11" t="s">
        <v>8</v>
      </c>
      <c r="E10" s="5"/>
      <c r="F10" s="10" t="s">
        <v>30</v>
      </c>
      <c r="G10" s="7"/>
      <c r="H10" s="3"/>
      <c r="I10" s="1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9" t="s">
        <v>31</v>
      </c>
      <c r="B11" s="5"/>
      <c r="C11" s="10">
        <v>33.0</v>
      </c>
      <c r="D11" s="11" t="s">
        <v>17</v>
      </c>
      <c r="E11" s="5"/>
      <c r="F11" s="10" t="s">
        <v>32</v>
      </c>
      <c r="G11" s="7"/>
      <c r="H11" s="3"/>
      <c r="I11" s="1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9" t="s">
        <v>33</v>
      </c>
      <c r="B12" s="5"/>
      <c r="C12" s="10">
        <v>41.0</v>
      </c>
      <c r="D12" s="11" t="s">
        <v>8</v>
      </c>
      <c r="E12" s="5"/>
      <c r="F12" s="10" t="s">
        <v>34</v>
      </c>
      <c r="G12" s="7"/>
      <c r="H12" s="3"/>
      <c r="I12" s="1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9" t="s">
        <v>35</v>
      </c>
      <c r="B13" s="5"/>
      <c r="C13" s="10">
        <v>42.0</v>
      </c>
      <c r="D13" s="11" t="s">
        <v>17</v>
      </c>
      <c r="E13" s="5"/>
      <c r="F13" s="10" t="s">
        <v>36</v>
      </c>
      <c r="G13" s="7"/>
      <c r="H13" s="3"/>
      <c r="I13" s="1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9" t="s">
        <v>37</v>
      </c>
      <c r="B14" s="5"/>
      <c r="C14" s="10">
        <v>43.0</v>
      </c>
      <c r="D14" s="11" t="s">
        <v>17</v>
      </c>
      <c r="E14" s="5"/>
      <c r="F14" s="13" t="s">
        <v>38</v>
      </c>
      <c r="G14" s="7"/>
      <c r="H14" s="3"/>
      <c r="I14" s="1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9" t="s">
        <v>39</v>
      </c>
      <c r="B15" s="5"/>
      <c r="C15" s="10">
        <v>51.0</v>
      </c>
      <c r="D15" s="11" t="s">
        <v>25</v>
      </c>
      <c r="E15" s="5"/>
      <c r="F15" s="13" t="s">
        <v>40</v>
      </c>
      <c r="G15" s="7"/>
      <c r="H15" s="3"/>
      <c r="I15" s="1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9" t="s">
        <v>41</v>
      </c>
      <c r="B16" s="5"/>
      <c r="C16" s="10">
        <v>52.0</v>
      </c>
      <c r="D16" s="11" t="s">
        <v>25</v>
      </c>
      <c r="E16" s="5"/>
      <c r="F16" s="13" t="s">
        <v>42</v>
      </c>
      <c r="G16" s="7"/>
      <c r="H16" s="3"/>
      <c r="I16" s="1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9" t="s">
        <v>43</v>
      </c>
      <c r="B17" s="5"/>
      <c r="C17" s="10">
        <v>53.0</v>
      </c>
      <c r="D17" s="11" t="s">
        <v>25</v>
      </c>
      <c r="E17" s="5"/>
      <c r="F17" s="13" t="s">
        <v>44</v>
      </c>
      <c r="G17" s="7"/>
      <c r="H17" s="3"/>
      <c r="I17" s="1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9" t="s">
        <v>45</v>
      </c>
      <c r="B18" s="5"/>
      <c r="C18" s="10">
        <v>61.0</v>
      </c>
      <c r="D18" s="11" t="s">
        <v>8</v>
      </c>
      <c r="E18" s="5"/>
      <c r="F18" s="13" t="s">
        <v>46</v>
      </c>
      <c r="G18" s="7"/>
      <c r="H18" s="3"/>
      <c r="I18" s="1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9" t="s">
        <v>47</v>
      </c>
      <c r="B19" s="5"/>
      <c r="C19" s="10">
        <v>62.0</v>
      </c>
      <c r="D19" s="11" t="s">
        <v>17</v>
      </c>
      <c r="E19" s="5"/>
      <c r="F19" s="15" t="s">
        <v>48</v>
      </c>
      <c r="G19" s="7"/>
      <c r="H19" s="3"/>
      <c r="I19" s="1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9" t="s">
        <v>49</v>
      </c>
      <c r="B20" s="5"/>
      <c r="C20" s="10">
        <v>63.0</v>
      </c>
      <c r="D20" s="11" t="s">
        <v>17</v>
      </c>
      <c r="E20" s="5"/>
      <c r="F20" s="13"/>
      <c r="G20" s="7"/>
      <c r="H20" s="3"/>
      <c r="I20" s="1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9" t="s">
        <v>50</v>
      </c>
      <c r="B21" s="5"/>
      <c r="C21" s="10">
        <v>71.0</v>
      </c>
      <c r="D21" s="11" t="s">
        <v>8</v>
      </c>
      <c r="E21" s="5"/>
      <c r="F21" s="13"/>
      <c r="G21" s="7"/>
      <c r="H21" s="3"/>
      <c r="I21" s="1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9" t="s">
        <v>51</v>
      </c>
      <c r="B22" s="5"/>
      <c r="C22" s="10">
        <v>72.0</v>
      </c>
      <c r="D22" s="11" t="s">
        <v>8</v>
      </c>
      <c r="E22" s="5"/>
      <c r="F22" s="13"/>
      <c r="G22" s="7"/>
      <c r="H22" s="3"/>
      <c r="I22" s="1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9" t="s">
        <v>52</v>
      </c>
      <c r="B23" s="5"/>
      <c r="C23" s="10">
        <v>73.0</v>
      </c>
      <c r="D23" s="11" t="s">
        <v>17</v>
      </c>
      <c r="E23" s="5"/>
      <c r="F23" s="13"/>
      <c r="G23" s="7"/>
      <c r="H23" s="3"/>
      <c r="I23" s="1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9" t="s">
        <v>53</v>
      </c>
      <c r="B24" s="5"/>
      <c r="C24" s="10">
        <v>81.0</v>
      </c>
      <c r="D24" s="11" t="s">
        <v>8</v>
      </c>
      <c r="E24" s="5"/>
      <c r="F24" s="13"/>
      <c r="G24" s="7"/>
      <c r="H24" s="3"/>
      <c r="I24" s="1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9" t="s">
        <v>54</v>
      </c>
      <c r="B25" s="5"/>
      <c r="C25" s="10">
        <v>82.0</v>
      </c>
      <c r="D25" s="11" t="s">
        <v>17</v>
      </c>
      <c r="E25" s="5"/>
      <c r="F25" s="13"/>
      <c r="G25" s="7"/>
      <c r="H25" s="3"/>
      <c r="I25" s="1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9" t="s">
        <v>55</v>
      </c>
      <c r="B26" s="5"/>
      <c r="C26" s="10">
        <v>83.0</v>
      </c>
      <c r="D26" s="11" t="s">
        <v>17</v>
      </c>
      <c r="E26" s="5"/>
      <c r="F26" s="13"/>
      <c r="G26" s="7"/>
      <c r="H26" s="3"/>
      <c r="I26" s="1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9" t="s">
        <v>56</v>
      </c>
      <c r="B27" s="5"/>
      <c r="C27" s="10">
        <v>91.0</v>
      </c>
      <c r="D27" s="11" t="s">
        <v>8</v>
      </c>
      <c r="E27" s="5"/>
      <c r="F27" s="13"/>
      <c r="G27" s="7"/>
      <c r="H27" s="3"/>
      <c r="I27" s="1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9" t="s">
        <v>57</v>
      </c>
      <c r="B28" s="5"/>
      <c r="C28" s="10">
        <v>92.0</v>
      </c>
      <c r="D28" s="11" t="s">
        <v>8</v>
      </c>
      <c r="E28" s="5"/>
      <c r="F28" s="13"/>
      <c r="G28" s="7"/>
      <c r="H28" s="3"/>
      <c r="I28" s="1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9" t="s">
        <v>58</v>
      </c>
      <c r="B29" s="5"/>
      <c r="C29" s="10">
        <v>93.0</v>
      </c>
      <c r="D29" s="11" t="s">
        <v>17</v>
      </c>
      <c r="E29" s="5"/>
      <c r="F29" s="13"/>
      <c r="G29" s="7"/>
      <c r="H29" s="3"/>
      <c r="I29" s="1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9" t="s">
        <v>59</v>
      </c>
      <c r="B30" s="5"/>
      <c r="C30" s="13"/>
      <c r="D30" s="13"/>
      <c r="E30" s="5"/>
      <c r="F30" s="13"/>
      <c r="G30" s="7"/>
      <c r="H30" s="3"/>
      <c r="I30" s="1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9" t="s">
        <v>60</v>
      </c>
      <c r="B31" s="5"/>
      <c r="C31" s="13"/>
      <c r="D31" s="13"/>
      <c r="E31" s="5"/>
      <c r="F31" s="13"/>
      <c r="G31" s="7"/>
      <c r="H31" s="3"/>
      <c r="I31" s="1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9" t="s">
        <v>61</v>
      </c>
      <c r="B32" s="5"/>
      <c r="C32" s="13"/>
      <c r="D32" s="13"/>
      <c r="E32" s="5"/>
      <c r="F32" s="13"/>
      <c r="G32" s="7"/>
      <c r="H32" s="3"/>
      <c r="I32" s="1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9" t="s">
        <v>62</v>
      </c>
      <c r="B33" s="5"/>
      <c r="C33" s="13"/>
      <c r="D33" s="13"/>
      <c r="E33" s="5"/>
      <c r="F33" s="13"/>
      <c r="G33" s="7"/>
      <c r="H33" s="3"/>
      <c r="I33" s="1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9" t="s">
        <v>63</v>
      </c>
      <c r="B34" s="5"/>
      <c r="C34" s="13"/>
      <c r="D34" s="16"/>
      <c r="E34" s="5"/>
      <c r="F34" s="13"/>
      <c r="G34" s="7"/>
      <c r="H34" s="3"/>
      <c r="I34" s="1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9" t="s">
        <v>64</v>
      </c>
      <c r="B35" s="5"/>
      <c r="C35" s="13"/>
      <c r="D35" s="13"/>
      <c r="E35" s="5"/>
      <c r="F35" s="13"/>
      <c r="G35" s="7"/>
      <c r="H35" s="3"/>
      <c r="I35" s="1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9" t="s">
        <v>65</v>
      </c>
      <c r="B36" s="5"/>
      <c r="C36" s="13"/>
      <c r="D36" s="13"/>
      <c r="E36" s="5"/>
      <c r="F36" s="13"/>
      <c r="G36" s="7"/>
      <c r="H36" s="3"/>
      <c r="I36" s="1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9" t="s">
        <v>66</v>
      </c>
      <c r="B37" s="5"/>
      <c r="C37" s="13"/>
      <c r="D37" s="13"/>
      <c r="E37" s="5"/>
      <c r="F37" s="13"/>
      <c r="G37" s="7"/>
      <c r="H37" s="3"/>
      <c r="I37" s="1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9" t="s">
        <v>67</v>
      </c>
      <c r="B38" s="5"/>
      <c r="C38" s="13"/>
      <c r="D38" s="13"/>
      <c r="E38" s="5"/>
      <c r="F38" s="13"/>
      <c r="G38" s="7"/>
      <c r="H38" s="3"/>
      <c r="I38" s="1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9" t="s">
        <v>68</v>
      </c>
      <c r="B39" s="17"/>
      <c r="C39" s="13"/>
      <c r="D39" s="13"/>
      <c r="E39" s="17"/>
      <c r="F39" s="13"/>
      <c r="G39" s="7"/>
      <c r="H39" s="3"/>
      <c r="I39" s="1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9" t="s">
        <v>69</v>
      </c>
      <c r="B40" s="18"/>
      <c r="C40" s="13"/>
      <c r="D40" s="13"/>
      <c r="E40" s="18"/>
      <c r="F40" s="13"/>
      <c r="G40" s="19"/>
      <c r="H40" s="3"/>
      <c r="I40" s="1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9" t="s">
        <v>70</v>
      </c>
      <c r="B41" s="18"/>
      <c r="C41" s="13"/>
      <c r="D41" s="13"/>
      <c r="E41" s="18"/>
      <c r="F41" s="13"/>
      <c r="G41" s="19"/>
      <c r="H41" s="3"/>
      <c r="I41" s="1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9" t="s">
        <v>71</v>
      </c>
      <c r="B42" s="18"/>
      <c r="C42" s="13"/>
      <c r="D42" s="13"/>
      <c r="E42" s="18"/>
      <c r="F42" s="13"/>
      <c r="G42" s="19"/>
      <c r="H42" s="3"/>
      <c r="I42" s="1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9" t="s">
        <v>72</v>
      </c>
      <c r="B43" s="18"/>
      <c r="C43" s="13"/>
      <c r="D43" s="13"/>
      <c r="E43" s="18"/>
      <c r="F43" s="13"/>
      <c r="G43" s="19"/>
      <c r="H43" s="3"/>
      <c r="I43" s="1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9" t="s">
        <v>73</v>
      </c>
      <c r="B44" s="18"/>
      <c r="C44" s="13"/>
      <c r="D44" s="13"/>
      <c r="E44" s="18"/>
      <c r="F44" s="13"/>
      <c r="G44" s="19"/>
      <c r="H44" s="3"/>
      <c r="I44" s="1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20"/>
      <c r="B45" s="18"/>
      <c r="C45" s="13"/>
      <c r="D45" s="13"/>
      <c r="E45" s="18"/>
      <c r="F45" s="13"/>
      <c r="G45" s="19"/>
      <c r="H45" s="3"/>
      <c r="I45" s="1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20"/>
      <c r="B46" s="18"/>
      <c r="C46" s="13"/>
      <c r="D46" s="13"/>
      <c r="E46" s="18"/>
      <c r="F46" s="13"/>
      <c r="G46" s="19"/>
      <c r="H46" s="3"/>
      <c r="I46" s="1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20"/>
      <c r="B47" s="18"/>
      <c r="C47" s="13"/>
      <c r="D47" s="13"/>
      <c r="E47" s="18"/>
      <c r="F47" s="13"/>
      <c r="G47" s="19"/>
      <c r="H47" s="3"/>
      <c r="I47" s="1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20"/>
      <c r="B48" s="18"/>
      <c r="C48" s="13"/>
      <c r="D48" s="13"/>
      <c r="E48" s="18"/>
      <c r="F48" s="13"/>
      <c r="G48" s="19"/>
      <c r="H48" s="3"/>
      <c r="I48" s="1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20"/>
      <c r="B49" s="18"/>
      <c r="C49" s="13"/>
      <c r="D49" s="13"/>
      <c r="E49" s="18"/>
      <c r="F49" s="13"/>
      <c r="G49" s="19"/>
      <c r="H49" s="3"/>
      <c r="I49" s="1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20"/>
      <c r="B50" s="18"/>
      <c r="C50" s="13"/>
      <c r="D50" s="13"/>
      <c r="E50" s="18"/>
      <c r="F50" s="13"/>
      <c r="G50" s="19"/>
      <c r="H50" s="3"/>
      <c r="I50" s="1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20"/>
      <c r="B51" s="18"/>
      <c r="C51" s="13"/>
      <c r="D51" s="13"/>
      <c r="E51" s="18"/>
      <c r="F51" s="13"/>
      <c r="G51" s="19"/>
      <c r="H51" s="3"/>
      <c r="I51" s="1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20"/>
      <c r="B52" s="18"/>
      <c r="C52" s="13"/>
      <c r="D52" s="13"/>
      <c r="E52" s="18"/>
      <c r="F52" s="13"/>
      <c r="G52" s="19"/>
      <c r="H52" s="3"/>
      <c r="I52" s="1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20"/>
      <c r="B53" s="18"/>
      <c r="C53" s="13"/>
      <c r="D53" s="13"/>
      <c r="E53" s="18"/>
      <c r="F53" s="13"/>
      <c r="G53" s="19"/>
      <c r="H53" s="3"/>
      <c r="I53" s="1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20"/>
      <c r="B54" s="18"/>
      <c r="C54" s="13"/>
      <c r="D54" s="13"/>
      <c r="E54" s="18"/>
      <c r="F54" s="13"/>
      <c r="G54" s="19"/>
      <c r="H54" s="3"/>
      <c r="I54" s="1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20"/>
      <c r="B55" s="18"/>
      <c r="C55" s="13"/>
      <c r="D55" s="13"/>
      <c r="E55" s="18"/>
      <c r="F55" s="13"/>
      <c r="G55" s="19"/>
      <c r="H55" s="3"/>
      <c r="I55" s="1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20"/>
      <c r="B56" s="18"/>
      <c r="C56" s="13"/>
      <c r="D56" s="13"/>
      <c r="E56" s="18"/>
      <c r="F56" s="13"/>
      <c r="G56" s="19"/>
      <c r="H56" s="3"/>
      <c r="I56" s="14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20"/>
      <c r="B57" s="18"/>
      <c r="C57" s="13"/>
      <c r="D57" s="13"/>
      <c r="E57" s="18"/>
      <c r="F57" s="13"/>
      <c r="G57" s="19"/>
      <c r="H57" s="3"/>
      <c r="I57" s="14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20"/>
      <c r="B58" s="18"/>
      <c r="C58" s="13"/>
      <c r="D58" s="13"/>
      <c r="E58" s="18"/>
      <c r="F58" s="13"/>
      <c r="G58" s="19"/>
      <c r="H58" s="3"/>
      <c r="I58" s="14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20"/>
      <c r="B59" s="18"/>
      <c r="C59" s="13"/>
      <c r="D59" s="13"/>
      <c r="E59" s="18"/>
      <c r="F59" s="13"/>
      <c r="G59" s="19"/>
      <c r="H59" s="3"/>
      <c r="I59" s="1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20"/>
      <c r="B60" s="18"/>
      <c r="C60" s="13"/>
      <c r="D60" s="13"/>
      <c r="E60" s="18"/>
      <c r="F60" s="13"/>
      <c r="G60" s="19"/>
      <c r="H60" s="3"/>
      <c r="I60" s="1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20"/>
      <c r="B61" s="18"/>
      <c r="C61" s="13"/>
      <c r="D61" s="13"/>
      <c r="E61" s="18"/>
      <c r="F61" s="13"/>
      <c r="G61" s="19"/>
      <c r="H61" s="3"/>
      <c r="I61" s="1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20"/>
      <c r="B62" s="18"/>
      <c r="C62" s="13"/>
      <c r="D62" s="13"/>
      <c r="E62" s="18"/>
      <c r="F62" s="13"/>
      <c r="G62" s="19"/>
      <c r="H62" s="3"/>
      <c r="I62" s="1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20"/>
      <c r="B63" s="18"/>
      <c r="C63" s="13"/>
      <c r="D63" s="13"/>
      <c r="E63" s="18"/>
      <c r="F63" s="13"/>
      <c r="G63" s="19"/>
      <c r="H63" s="3"/>
      <c r="I63" s="1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20"/>
      <c r="B64" s="18"/>
      <c r="C64" s="13"/>
      <c r="D64" s="13"/>
      <c r="E64" s="18"/>
      <c r="F64" s="13"/>
      <c r="G64" s="19"/>
      <c r="H64" s="3"/>
      <c r="I64" s="1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20"/>
      <c r="B65" s="18"/>
      <c r="C65" s="13"/>
      <c r="D65" s="13"/>
      <c r="E65" s="18"/>
      <c r="F65" s="13"/>
      <c r="G65" s="19"/>
      <c r="H65" s="3"/>
      <c r="I65" s="1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20"/>
      <c r="B66" s="18"/>
      <c r="C66" s="13"/>
      <c r="D66" s="13"/>
      <c r="E66" s="18"/>
      <c r="F66" s="13"/>
      <c r="G66" s="19"/>
      <c r="H66" s="3"/>
      <c r="I66" s="1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20"/>
      <c r="B67" s="18"/>
      <c r="C67" s="13"/>
      <c r="D67" s="13"/>
      <c r="E67" s="18"/>
      <c r="F67" s="13"/>
      <c r="G67" s="19"/>
      <c r="H67" s="3"/>
      <c r="I67" s="1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20"/>
      <c r="B68" s="18"/>
      <c r="C68" s="13"/>
      <c r="D68" s="13"/>
      <c r="E68" s="18"/>
      <c r="F68" s="13"/>
      <c r="G68" s="19"/>
      <c r="H68" s="3"/>
      <c r="I68" s="1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20"/>
      <c r="B69" s="18"/>
      <c r="C69" s="13"/>
      <c r="D69" s="13"/>
      <c r="E69" s="18"/>
      <c r="F69" s="13"/>
      <c r="G69" s="19"/>
      <c r="H69" s="3"/>
      <c r="I69" s="1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20"/>
      <c r="B70" s="18"/>
      <c r="C70" s="13"/>
      <c r="D70" s="13"/>
      <c r="E70" s="18"/>
      <c r="F70" s="13"/>
      <c r="G70" s="19"/>
      <c r="H70" s="3"/>
      <c r="I70" s="1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20"/>
      <c r="B71" s="18"/>
      <c r="C71" s="13"/>
      <c r="D71" s="13"/>
      <c r="E71" s="18"/>
      <c r="F71" s="13"/>
      <c r="G71" s="19"/>
      <c r="H71" s="3"/>
      <c r="I71" s="1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20"/>
      <c r="B72" s="18"/>
      <c r="C72" s="13"/>
      <c r="D72" s="13"/>
      <c r="E72" s="18"/>
      <c r="F72" s="13"/>
      <c r="G72" s="19"/>
      <c r="H72" s="3"/>
      <c r="I72" s="14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20"/>
      <c r="B73" s="18"/>
      <c r="C73" s="13"/>
      <c r="D73" s="13"/>
      <c r="E73" s="18"/>
      <c r="F73" s="13"/>
      <c r="G73" s="19"/>
      <c r="H73" s="3"/>
      <c r="I73" s="1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20"/>
      <c r="B74" s="18"/>
      <c r="C74" s="13"/>
      <c r="D74" s="13"/>
      <c r="E74" s="18"/>
      <c r="F74" s="13"/>
      <c r="G74" s="19"/>
      <c r="H74" s="3"/>
      <c r="I74" s="14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20"/>
      <c r="B75" s="18"/>
      <c r="C75" s="13"/>
      <c r="D75" s="13"/>
      <c r="E75" s="18"/>
      <c r="F75" s="13"/>
      <c r="G75" s="19"/>
      <c r="H75" s="3"/>
      <c r="I75" s="14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20"/>
      <c r="B76" s="18"/>
      <c r="C76" s="13"/>
      <c r="D76" s="13"/>
      <c r="E76" s="18"/>
      <c r="F76" s="13"/>
      <c r="G76" s="19"/>
      <c r="H76" s="3"/>
      <c r="I76" s="1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20"/>
      <c r="B77" s="18"/>
      <c r="C77" s="13"/>
      <c r="D77" s="13"/>
      <c r="E77" s="18"/>
      <c r="F77" s="13"/>
      <c r="G77" s="19"/>
      <c r="H77" s="3"/>
      <c r="I77" s="1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20"/>
      <c r="B78" s="18"/>
      <c r="C78" s="13"/>
      <c r="D78" s="13"/>
      <c r="E78" s="18"/>
      <c r="F78" s="13"/>
      <c r="G78" s="19"/>
      <c r="H78" s="3"/>
      <c r="I78" s="1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20"/>
      <c r="B79" s="18"/>
      <c r="C79" s="13"/>
      <c r="D79" s="13"/>
      <c r="E79" s="18"/>
      <c r="F79" s="13"/>
      <c r="G79" s="19"/>
      <c r="H79" s="3"/>
      <c r="I79" s="1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20"/>
      <c r="B80" s="18"/>
      <c r="C80" s="13"/>
      <c r="D80" s="13"/>
      <c r="E80" s="18"/>
      <c r="F80" s="13"/>
      <c r="G80" s="19"/>
      <c r="H80" s="3"/>
      <c r="I80" s="1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20"/>
      <c r="B81" s="18"/>
      <c r="C81" s="13"/>
      <c r="D81" s="13"/>
      <c r="E81" s="18"/>
      <c r="F81" s="13"/>
      <c r="G81" s="19"/>
      <c r="H81" s="3"/>
      <c r="I81" s="1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20"/>
      <c r="B82" s="18"/>
      <c r="C82" s="13"/>
      <c r="D82" s="13"/>
      <c r="E82" s="18"/>
      <c r="F82" s="13"/>
      <c r="G82" s="19"/>
      <c r="H82" s="3"/>
      <c r="I82" s="1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20"/>
      <c r="B83" s="18"/>
      <c r="C83" s="13"/>
      <c r="D83" s="13"/>
      <c r="E83" s="18"/>
      <c r="F83" s="13"/>
      <c r="G83" s="19"/>
      <c r="H83" s="3"/>
      <c r="I83" s="1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20"/>
      <c r="B84" s="18"/>
      <c r="C84" s="13"/>
      <c r="D84" s="13"/>
      <c r="E84" s="18"/>
      <c r="F84" s="13"/>
      <c r="G84" s="19"/>
      <c r="H84" s="3"/>
      <c r="I84" s="1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20"/>
      <c r="B85" s="18"/>
      <c r="C85" s="13"/>
      <c r="D85" s="13"/>
      <c r="E85" s="18"/>
      <c r="F85" s="13"/>
      <c r="G85" s="19"/>
      <c r="H85" s="3"/>
      <c r="I85" s="1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20"/>
      <c r="B86" s="18"/>
      <c r="C86" s="13"/>
      <c r="D86" s="13"/>
      <c r="E86" s="18"/>
      <c r="F86" s="13"/>
      <c r="G86" s="19"/>
      <c r="H86" s="3"/>
      <c r="I86" s="1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20"/>
      <c r="B87" s="18"/>
      <c r="C87" s="13"/>
      <c r="D87" s="13"/>
      <c r="E87" s="18"/>
      <c r="F87" s="13"/>
      <c r="G87" s="19"/>
      <c r="H87" s="3"/>
      <c r="I87" s="1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20"/>
      <c r="B88" s="18"/>
      <c r="C88" s="13"/>
      <c r="D88" s="13"/>
      <c r="E88" s="18"/>
      <c r="F88" s="13"/>
      <c r="G88" s="19"/>
      <c r="H88" s="3"/>
      <c r="I88" s="1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20"/>
      <c r="B89" s="18"/>
      <c r="C89" s="13"/>
      <c r="D89" s="13"/>
      <c r="E89" s="18"/>
      <c r="F89" s="13"/>
      <c r="G89" s="19"/>
      <c r="H89" s="3"/>
      <c r="I89" s="1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20"/>
      <c r="B90" s="18"/>
      <c r="C90" s="13"/>
      <c r="D90" s="13"/>
      <c r="E90" s="18"/>
      <c r="F90" s="13"/>
      <c r="G90" s="19"/>
      <c r="H90" s="3"/>
      <c r="I90" s="1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20"/>
      <c r="B91" s="18"/>
      <c r="C91" s="13"/>
      <c r="D91" s="13"/>
      <c r="E91" s="18"/>
      <c r="F91" s="13"/>
      <c r="G91" s="19"/>
      <c r="H91" s="3"/>
      <c r="I91" s="1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20"/>
      <c r="B92" s="18"/>
      <c r="C92" s="13"/>
      <c r="D92" s="13"/>
      <c r="E92" s="18"/>
      <c r="F92" s="13"/>
      <c r="G92" s="19"/>
      <c r="H92" s="3"/>
      <c r="I92" s="1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20"/>
      <c r="B93" s="18"/>
      <c r="C93" s="13"/>
      <c r="D93" s="13"/>
      <c r="E93" s="18"/>
      <c r="F93" s="13"/>
      <c r="G93" s="19"/>
      <c r="H93" s="3"/>
      <c r="I93" s="1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20"/>
      <c r="B94" s="18"/>
      <c r="C94" s="13"/>
      <c r="D94" s="13"/>
      <c r="E94" s="18"/>
      <c r="F94" s="13"/>
      <c r="G94" s="19"/>
      <c r="H94" s="3"/>
      <c r="I94" s="1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20"/>
      <c r="B95" s="18"/>
      <c r="C95" s="13"/>
      <c r="D95" s="13"/>
      <c r="E95" s="18"/>
      <c r="F95" s="13"/>
      <c r="G95" s="19"/>
      <c r="H95" s="3"/>
      <c r="I95" s="1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20"/>
      <c r="B96" s="18"/>
      <c r="C96" s="13"/>
      <c r="D96" s="13"/>
      <c r="E96" s="18"/>
      <c r="F96" s="13"/>
      <c r="G96" s="19"/>
      <c r="H96" s="3"/>
      <c r="I96" s="1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20"/>
      <c r="B97" s="18"/>
      <c r="C97" s="13"/>
      <c r="D97" s="13"/>
      <c r="E97" s="18"/>
      <c r="F97" s="13"/>
      <c r="G97" s="19"/>
      <c r="H97" s="3"/>
      <c r="I97" s="1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20"/>
      <c r="B98" s="18"/>
      <c r="C98" s="13"/>
      <c r="D98" s="13"/>
      <c r="E98" s="18"/>
      <c r="F98" s="13"/>
      <c r="G98" s="19"/>
      <c r="H98" s="3"/>
      <c r="I98" s="1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20"/>
      <c r="B99" s="18"/>
      <c r="C99" s="13"/>
      <c r="D99" s="13"/>
      <c r="E99" s="18"/>
      <c r="F99" s="13"/>
      <c r="G99" s="19"/>
      <c r="H99" s="3"/>
      <c r="I99" s="1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20"/>
      <c r="B100" s="18"/>
      <c r="C100" s="13"/>
      <c r="D100" s="13"/>
      <c r="E100" s="18"/>
      <c r="F100" s="13"/>
      <c r="G100" s="19"/>
      <c r="H100" s="3"/>
      <c r="I100" s="1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20"/>
      <c r="B101" s="18"/>
      <c r="C101" s="13"/>
      <c r="D101" s="13"/>
      <c r="E101" s="18"/>
      <c r="F101" s="13"/>
      <c r="G101" s="19"/>
      <c r="H101" s="3"/>
      <c r="I101" s="14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20"/>
      <c r="B102" s="18"/>
      <c r="C102" s="13"/>
      <c r="D102" s="13"/>
      <c r="E102" s="18"/>
      <c r="F102" s="13"/>
      <c r="G102" s="19"/>
      <c r="H102" s="3"/>
      <c r="I102" s="14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20"/>
      <c r="B103" s="18"/>
      <c r="C103" s="13"/>
      <c r="D103" s="13"/>
      <c r="E103" s="18"/>
      <c r="F103" s="13"/>
      <c r="G103" s="19"/>
      <c r="H103" s="3"/>
      <c r="I103" s="1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20"/>
      <c r="B104" s="18"/>
      <c r="C104" s="13"/>
      <c r="D104" s="13"/>
      <c r="E104" s="18"/>
      <c r="F104" s="13"/>
      <c r="G104" s="19"/>
      <c r="H104" s="3"/>
      <c r="I104" s="1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20"/>
      <c r="B105" s="18"/>
      <c r="C105" s="13"/>
      <c r="D105" s="13"/>
      <c r="E105" s="18"/>
      <c r="F105" s="13"/>
      <c r="G105" s="19"/>
      <c r="H105" s="3"/>
      <c r="I105" s="1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20"/>
      <c r="B106" s="18"/>
      <c r="C106" s="13"/>
      <c r="D106" s="13"/>
      <c r="E106" s="18"/>
      <c r="F106" s="13"/>
      <c r="G106" s="19"/>
      <c r="H106" s="3"/>
      <c r="I106" s="1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20"/>
      <c r="B107" s="18"/>
      <c r="C107" s="13"/>
      <c r="D107" s="13"/>
      <c r="E107" s="18"/>
      <c r="F107" s="13"/>
      <c r="G107" s="19"/>
      <c r="H107" s="3"/>
      <c r="I107" s="1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20"/>
      <c r="B108" s="18"/>
      <c r="C108" s="13"/>
      <c r="D108" s="13"/>
      <c r="E108" s="18"/>
      <c r="F108" s="13"/>
      <c r="G108" s="19"/>
      <c r="H108" s="3"/>
      <c r="I108" s="1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20"/>
      <c r="B109" s="18"/>
      <c r="C109" s="13"/>
      <c r="D109" s="13"/>
      <c r="E109" s="18"/>
      <c r="F109" s="13"/>
      <c r="G109" s="19"/>
      <c r="H109" s="3"/>
      <c r="I109" s="1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20"/>
      <c r="B110" s="18"/>
      <c r="C110" s="13"/>
      <c r="D110" s="13"/>
      <c r="E110" s="18"/>
      <c r="F110" s="13"/>
      <c r="G110" s="19"/>
      <c r="H110" s="3"/>
      <c r="I110" s="14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20"/>
      <c r="B111" s="18"/>
      <c r="C111" s="13"/>
      <c r="D111" s="13"/>
      <c r="E111" s="18"/>
      <c r="F111" s="13"/>
      <c r="G111" s="19"/>
      <c r="H111" s="3"/>
      <c r="I111" s="14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20"/>
      <c r="B112" s="18"/>
      <c r="C112" s="13"/>
      <c r="D112" s="13"/>
      <c r="E112" s="18"/>
      <c r="F112" s="13"/>
      <c r="G112" s="19"/>
      <c r="H112" s="3"/>
      <c r="I112" s="1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20"/>
      <c r="B113" s="18"/>
      <c r="C113" s="13"/>
      <c r="D113" s="13"/>
      <c r="E113" s="18"/>
      <c r="F113" s="13"/>
      <c r="G113" s="19"/>
      <c r="H113" s="3"/>
      <c r="I113" s="1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20"/>
      <c r="B114" s="18"/>
      <c r="C114" s="13"/>
      <c r="D114" s="13"/>
      <c r="E114" s="18"/>
      <c r="F114" s="13"/>
      <c r="G114" s="19"/>
      <c r="H114" s="3"/>
      <c r="I114" s="1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20"/>
      <c r="B115" s="18"/>
      <c r="C115" s="13"/>
      <c r="D115" s="13"/>
      <c r="E115" s="18"/>
      <c r="F115" s="13"/>
      <c r="G115" s="19"/>
      <c r="H115" s="3"/>
      <c r="I115" s="1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20"/>
      <c r="B116" s="18"/>
      <c r="C116" s="13"/>
      <c r="D116" s="13"/>
      <c r="E116" s="18"/>
      <c r="F116" s="13"/>
      <c r="G116" s="19"/>
      <c r="H116" s="3"/>
      <c r="I116" s="1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20"/>
      <c r="B117" s="18"/>
      <c r="C117" s="13"/>
      <c r="D117" s="13"/>
      <c r="E117" s="18"/>
      <c r="F117" s="13"/>
      <c r="G117" s="19"/>
      <c r="H117" s="3"/>
      <c r="I117" s="14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20"/>
      <c r="B118" s="18"/>
      <c r="C118" s="13"/>
      <c r="D118" s="13"/>
      <c r="E118" s="18"/>
      <c r="F118" s="13"/>
      <c r="G118" s="19"/>
      <c r="H118" s="3"/>
      <c r="I118" s="1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20"/>
      <c r="B119" s="18"/>
      <c r="C119" s="13"/>
      <c r="D119" s="13"/>
      <c r="E119" s="18"/>
      <c r="F119" s="13"/>
      <c r="G119" s="19"/>
      <c r="H119" s="3"/>
      <c r="I119" s="14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20"/>
      <c r="B120" s="18"/>
      <c r="C120" s="13"/>
      <c r="D120" s="13"/>
      <c r="E120" s="18"/>
      <c r="F120" s="13"/>
      <c r="G120" s="19"/>
      <c r="H120" s="3"/>
      <c r="I120" s="14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20"/>
      <c r="B121" s="18"/>
      <c r="C121" s="13"/>
      <c r="D121" s="13"/>
      <c r="E121" s="18"/>
      <c r="F121" s="13"/>
      <c r="G121" s="19"/>
      <c r="H121" s="3"/>
      <c r="I121" s="14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20"/>
      <c r="B122" s="18"/>
      <c r="C122" s="13"/>
      <c r="D122" s="13"/>
      <c r="E122" s="18"/>
      <c r="F122" s="13"/>
      <c r="G122" s="19"/>
      <c r="H122" s="3"/>
      <c r="I122" s="14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20"/>
      <c r="B123" s="18"/>
      <c r="C123" s="13"/>
      <c r="D123" s="13"/>
      <c r="E123" s="18"/>
      <c r="F123" s="13"/>
      <c r="G123" s="19"/>
      <c r="H123" s="3"/>
      <c r="I123" s="14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20"/>
      <c r="B124" s="18"/>
      <c r="C124" s="13"/>
      <c r="D124" s="13"/>
      <c r="E124" s="18"/>
      <c r="F124" s="13"/>
      <c r="G124" s="19"/>
      <c r="H124" s="3"/>
      <c r="I124" s="14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20"/>
      <c r="B125" s="18"/>
      <c r="C125" s="13"/>
      <c r="D125" s="13"/>
      <c r="E125" s="18"/>
      <c r="F125" s="13"/>
      <c r="G125" s="19"/>
      <c r="H125" s="3"/>
      <c r="I125" s="1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20"/>
      <c r="B126" s="18"/>
      <c r="C126" s="13"/>
      <c r="D126" s="13"/>
      <c r="E126" s="18"/>
      <c r="F126" s="13"/>
      <c r="G126" s="19"/>
      <c r="H126" s="3"/>
      <c r="I126" s="1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20"/>
      <c r="B127" s="18"/>
      <c r="C127" s="13"/>
      <c r="D127" s="13"/>
      <c r="E127" s="18"/>
      <c r="F127" s="13"/>
      <c r="G127" s="19"/>
      <c r="H127" s="3"/>
      <c r="I127" s="1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20"/>
      <c r="B128" s="18"/>
      <c r="C128" s="13"/>
      <c r="D128" s="13"/>
      <c r="E128" s="18"/>
      <c r="F128" s="13"/>
      <c r="G128" s="19"/>
      <c r="H128" s="3"/>
      <c r="I128" s="14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20"/>
      <c r="B129" s="18"/>
      <c r="C129" s="13"/>
      <c r="D129" s="13"/>
      <c r="E129" s="18"/>
      <c r="F129" s="13"/>
      <c r="G129" s="19"/>
      <c r="H129" s="3"/>
      <c r="I129" s="1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20"/>
      <c r="B130" s="18"/>
      <c r="C130" s="13"/>
      <c r="D130" s="13"/>
      <c r="E130" s="18"/>
      <c r="F130" s="13"/>
      <c r="G130" s="19"/>
      <c r="H130" s="3"/>
      <c r="I130" s="1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20"/>
      <c r="B131" s="18"/>
      <c r="C131" s="13"/>
      <c r="D131" s="13"/>
      <c r="E131" s="18"/>
      <c r="F131" s="13"/>
      <c r="G131" s="19"/>
      <c r="H131" s="3"/>
      <c r="I131" s="14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20"/>
      <c r="B132" s="18"/>
      <c r="C132" s="13"/>
      <c r="D132" s="13"/>
      <c r="E132" s="18"/>
      <c r="F132" s="13"/>
      <c r="G132" s="19"/>
      <c r="H132" s="3"/>
      <c r="I132" s="14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20"/>
      <c r="B133" s="18"/>
      <c r="C133" s="13"/>
      <c r="D133" s="13"/>
      <c r="E133" s="18"/>
      <c r="F133" s="13"/>
      <c r="G133" s="19"/>
      <c r="H133" s="3"/>
      <c r="I133" s="14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20"/>
      <c r="B134" s="18"/>
      <c r="C134" s="13"/>
      <c r="D134" s="13"/>
      <c r="E134" s="18"/>
      <c r="F134" s="13"/>
      <c r="G134" s="19"/>
      <c r="H134" s="3"/>
      <c r="I134" s="14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20"/>
      <c r="B135" s="18"/>
      <c r="C135" s="13"/>
      <c r="D135" s="13"/>
      <c r="E135" s="18"/>
      <c r="F135" s="13"/>
      <c r="G135" s="19"/>
      <c r="H135" s="3"/>
      <c r="I135" s="14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20"/>
      <c r="B136" s="18"/>
      <c r="C136" s="13"/>
      <c r="D136" s="13"/>
      <c r="E136" s="18"/>
      <c r="F136" s="13"/>
      <c r="G136" s="19"/>
      <c r="H136" s="3"/>
      <c r="I136" s="14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20"/>
      <c r="B137" s="18"/>
      <c r="C137" s="13"/>
      <c r="D137" s="13"/>
      <c r="E137" s="18"/>
      <c r="F137" s="13"/>
      <c r="G137" s="19"/>
      <c r="H137" s="3"/>
      <c r="I137" s="14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20"/>
      <c r="B138" s="18"/>
      <c r="C138" s="13"/>
      <c r="D138" s="13"/>
      <c r="E138" s="18"/>
      <c r="F138" s="13"/>
      <c r="G138" s="19"/>
      <c r="H138" s="3"/>
      <c r="I138" s="14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20"/>
      <c r="B139" s="18"/>
      <c r="C139" s="13"/>
      <c r="D139" s="13"/>
      <c r="E139" s="18"/>
      <c r="F139" s="13"/>
      <c r="G139" s="19"/>
      <c r="H139" s="3"/>
      <c r="I139" s="14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20"/>
      <c r="B140" s="18"/>
      <c r="C140" s="13"/>
      <c r="D140" s="13"/>
      <c r="E140" s="18"/>
      <c r="F140" s="13"/>
      <c r="G140" s="19"/>
      <c r="H140" s="3"/>
      <c r="I140" s="14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20"/>
      <c r="B141" s="18"/>
      <c r="C141" s="13"/>
      <c r="D141" s="13"/>
      <c r="E141" s="18"/>
      <c r="F141" s="13"/>
      <c r="G141" s="19"/>
      <c r="H141" s="3"/>
      <c r="I141" s="14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20"/>
      <c r="B142" s="18"/>
      <c r="C142" s="13"/>
      <c r="D142" s="13"/>
      <c r="E142" s="18"/>
      <c r="F142" s="13"/>
      <c r="G142" s="19"/>
      <c r="H142" s="3"/>
      <c r="I142" s="14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20"/>
      <c r="B143" s="18"/>
      <c r="C143" s="13"/>
      <c r="D143" s="13"/>
      <c r="E143" s="18"/>
      <c r="F143" s="13"/>
      <c r="G143" s="19"/>
      <c r="H143" s="3"/>
      <c r="I143" s="14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20"/>
      <c r="B144" s="18"/>
      <c r="C144" s="13"/>
      <c r="D144" s="13"/>
      <c r="E144" s="18"/>
      <c r="F144" s="13"/>
      <c r="G144" s="19"/>
      <c r="H144" s="3"/>
      <c r="I144" s="14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20"/>
      <c r="B145" s="18"/>
      <c r="C145" s="13"/>
      <c r="D145" s="13"/>
      <c r="E145" s="18"/>
      <c r="F145" s="13"/>
      <c r="G145" s="19"/>
      <c r="H145" s="3"/>
      <c r="I145" s="14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20"/>
      <c r="B146" s="18"/>
      <c r="C146" s="13"/>
      <c r="D146" s="13"/>
      <c r="E146" s="18"/>
      <c r="F146" s="13"/>
      <c r="G146" s="19"/>
      <c r="H146" s="3"/>
      <c r="I146" s="14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20"/>
      <c r="B147" s="18"/>
      <c r="C147" s="13"/>
      <c r="D147" s="13"/>
      <c r="E147" s="18"/>
      <c r="F147" s="13"/>
      <c r="G147" s="19"/>
      <c r="H147" s="3"/>
      <c r="I147" s="14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20"/>
      <c r="B148" s="18"/>
      <c r="C148" s="13"/>
      <c r="D148" s="13"/>
      <c r="E148" s="18"/>
      <c r="F148" s="13"/>
      <c r="G148" s="19"/>
      <c r="H148" s="3"/>
      <c r="I148" s="14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20"/>
      <c r="B149" s="18"/>
      <c r="C149" s="13"/>
      <c r="D149" s="13"/>
      <c r="E149" s="18"/>
      <c r="F149" s="13"/>
      <c r="G149" s="19"/>
      <c r="H149" s="3"/>
      <c r="I149" s="14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20"/>
      <c r="B150" s="18"/>
      <c r="C150" s="13"/>
      <c r="D150" s="13"/>
      <c r="E150" s="18"/>
      <c r="F150" s="13"/>
      <c r="G150" s="19"/>
      <c r="H150" s="3"/>
      <c r="I150" s="14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20"/>
      <c r="B151" s="18"/>
      <c r="C151" s="13"/>
      <c r="D151" s="13"/>
      <c r="E151" s="18"/>
      <c r="F151" s="13"/>
      <c r="G151" s="19"/>
      <c r="H151" s="3"/>
      <c r="I151" s="1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20"/>
      <c r="B152" s="18"/>
      <c r="C152" s="13"/>
      <c r="D152" s="13"/>
      <c r="E152" s="18"/>
      <c r="F152" s="13"/>
      <c r="G152" s="19"/>
      <c r="H152" s="3"/>
      <c r="I152" s="14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20"/>
      <c r="B153" s="18"/>
      <c r="C153" s="13"/>
      <c r="D153" s="13"/>
      <c r="E153" s="18"/>
      <c r="F153" s="13"/>
      <c r="G153" s="19"/>
      <c r="H153" s="3"/>
      <c r="I153" s="14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20"/>
      <c r="B154" s="18"/>
      <c r="C154" s="13"/>
      <c r="D154" s="13"/>
      <c r="E154" s="18"/>
      <c r="F154" s="13"/>
      <c r="G154" s="19"/>
      <c r="H154" s="3"/>
      <c r="I154" s="14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20"/>
      <c r="B155" s="18"/>
      <c r="C155" s="13"/>
      <c r="D155" s="13"/>
      <c r="E155" s="18"/>
      <c r="F155" s="13"/>
      <c r="G155" s="19"/>
      <c r="H155" s="3"/>
      <c r="I155" s="14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20"/>
      <c r="B156" s="18"/>
      <c r="C156" s="13"/>
      <c r="D156" s="13"/>
      <c r="E156" s="18"/>
      <c r="F156" s="13"/>
      <c r="G156" s="19"/>
      <c r="H156" s="3"/>
      <c r="I156" s="14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20"/>
      <c r="B157" s="18"/>
      <c r="C157" s="13"/>
      <c r="D157" s="13"/>
      <c r="E157" s="18"/>
      <c r="F157" s="13"/>
      <c r="G157" s="19"/>
      <c r="H157" s="3"/>
      <c r="I157" s="14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20"/>
      <c r="B158" s="18"/>
      <c r="C158" s="13"/>
      <c r="D158" s="13"/>
      <c r="E158" s="18"/>
      <c r="F158" s="13"/>
      <c r="G158" s="19"/>
      <c r="H158" s="3"/>
      <c r="I158" s="14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20"/>
      <c r="B159" s="18"/>
      <c r="C159" s="13"/>
      <c r="D159" s="13"/>
      <c r="E159" s="18"/>
      <c r="F159" s="13"/>
      <c r="G159" s="19"/>
      <c r="H159" s="3"/>
      <c r="I159" s="14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20"/>
      <c r="B160" s="18"/>
      <c r="C160" s="13"/>
      <c r="D160" s="13"/>
      <c r="E160" s="18"/>
      <c r="F160" s="13"/>
      <c r="G160" s="19"/>
      <c r="H160" s="3"/>
      <c r="I160" s="14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20"/>
      <c r="B161" s="18"/>
      <c r="C161" s="13"/>
      <c r="D161" s="13"/>
      <c r="E161" s="18"/>
      <c r="F161" s="13"/>
      <c r="G161" s="19"/>
      <c r="H161" s="3"/>
      <c r="I161" s="1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20"/>
      <c r="B162" s="18"/>
      <c r="C162" s="13"/>
      <c r="D162" s="13"/>
      <c r="E162" s="18"/>
      <c r="F162" s="13"/>
      <c r="G162" s="19"/>
      <c r="H162" s="3"/>
      <c r="I162" s="14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20"/>
      <c r="B163" s="18"/>
      <c r="C163" s="13"/>
      <c r="D163" s="13"/>
      <c r="E163" s="18"/>
      <c r="F163" s="13"/>
      <c r="G163" s="19"/>
      <c r="H163" s="3"/>
      <c r="I163" s="14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20"/>
      <c r="B164" s="18"/>
      <c r="C164" s="13"/>
      <c r="D164" s="13"/>
      <c r="E164" s="18"/>
      <c r="F164" s="13"/>
      <c r="G164" s="19"/>
      <c r="H164" s="3"/>
      <c r="I164" s="14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20"/>
      <c r="B165" s="18"/>
      <c r="C165" s="13"/>
      <c r="D165" s="13"/>
      <c r="E165" s="18"/>
      <c r="F165" s="13"/>
      <c r="G165" s="19"/>
      <c r="H165" s="3"/>
      <c r="I165" s="14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20"/>
      <c r="B166" s="18"/>
      <c r="C166" s="13"/>
      <c r="D166" s="13"/>
      <c r="E166" s="18"/>
      <c r="F166" s="13"/>
      <c r="G166" s="19"/>
      <c r="H166" s="3"/>
      <c r="I166" s="14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20"/>
      <c r="B167" s="18"/>
      <c r="C167" s="13"/>
      <c r="D167" s="13"/>
      <c r="E167" s="18"/>
      <c r="F167" s="13"/>
      <c r="G167" s="19"/>
      <c r="H167" s="3"/>
      <c r="I167" s="14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20"/>
      <c r="B168" s="18"/>
      <c r="C168" s="13"/>
      <c r="D168" s="13"/>
      <c r="E168" s="18"/>
      <c r="F168" s="13"/>
      <c r="G168" s="19"/>
      <c r="H168" s="3"/>
      <c r="I168" s="14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20"/>
      <c r="B169" s="18"/>
      <c r="C169" s="13"/>
      <c r="D169" s="13"/>
      <c r="E169" s="18"/>
      <c r="F169" s="13"/>
      <c r="G169" s="19"/>
      <c r="H169" s="3"/>
      <c r="I169" s="14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20"/>
      <c r="B170" s="18"/>
      <c r="C170" s="13"/>
      <c r="D170" s="13"/>
      <c r="E170" s="18"/>
      <c r="F170" s="13"/>
      <c r="G170" s="19"/>
      <c r="H170" s="3"/>
      <c r="I170" s="14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20"/>
      <c r="B171" s="18"/>
      <c r="C171" s="13"/>
      <c r="D171" s="13"/>
      <c r="E171" s="18"/>
      <c r="F171" s="13"/>
      <c r="G171" s="19"/>
      <c r="H171" s="3"/>
      <c r="I171" s="1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20"/>
      <c r="B172" s="18"/>
      <c r="C172" s="13"/>
      <c r="D172" s="13"/>
      <c r="E172" s="18"/>
      <c r="F172" s="13"/>
      <c r="G172" s="19"/>
      <c r="H172" s="3"/>
      <c r="I172" s="14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20"/>
      <c r="B173" s="18"/>
      <c r="C173" s="13"/>
      <c r="D173" s="13"/>
      <c r="E173" s="18"/>
      <c r="F173" s="13"/>
      <c r="G173" s="19"/>
      <c r="H173" s="3"/>
      <c r="I173" s="14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20"/>
      <c r="B174" s="18"/>
      <c r="C174" s="13"/>
      <c r="D174" s="13"/>
      <c r="E174" s="18"/>
      <c r="F174" s="13"/>
      <c r="G174" s="19"/>
      <c r="H174" s="3"/>
      <c r="I174" s="14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20"/>
      <c r="B175" s="18"/>
      <c r="C175" s="13"/>
      <c r="D175" s="13"/>
      <c r="E175" s="18"/>
      <c r="F175" s="13"/>
      <c r="G175" s="19"/>
      <c r="H175" s="3"/>
      <c r="I175" s="14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20"/>
      <c r="B176" s="18"/>
      <c r="C176" s="13"/>
      <c r="D176" s="13"/>
      <c r="E176" s="18"/>
      <c r="F176" s="13"/>
      <c r="G176" s="19"/>
      <c r="H176" s="3"/>
      <c r="I176" s="14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20"/>
      <c r="B177" s="18"/>
      <c r="C177" s="13"/>
      <c r="D177" s="13"/>
      <c r="E177" s="18"/>
      <c r="F177" s="13"/>
      <c r="G177" s="19"/>
      <c r="H177" s="3"/>
      <c r="I177" s="14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20"/>
      <c r="B178" s="18"/>
      <c r="C178" s="13"/>
      <c r="D178" s="13"/>
      <c r="E178" s="18"/>
      <c r="F178" s="13"/>
      <c r="G178" s="19"/>
      <c r="H178" s="3"/>
      <c r="I178" s="14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20"/>
      <c r="B179" s="18"/>
      <c r="C179" s="13"/>
      <c r="D179" s="13"/>
      <c r="E179" s="18"/>
      <c r="F179" s="13"/>
      <c r="G179" s="19"/>
      <c r="H179" s="3"/>
      <c r="I179" s="14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20"/>
      <c r="B180" s="18"/>
      <c r="C180" s="13"/>
      <c r="D180" s="13"/>
      <c r="E180" s="18"/>
      <c r="F180" s="13"/>
      <c r="G180" s="19"/>
      <c r="H180" s="3"/>
      <c r="I180" s="14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20"/>
      <c r="B181" s="18"/>
      <c r="C181" s="13"/>
      <c r="D181" s="13"/>
      <c r="E181" s="18"/>
      <c r="F181" s="13"/>
      <c r="G181" s="19"/>
      <c r="H181" s="3"/>
      <c r="I181" s="14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20"/>
      <c r="B182" s="18"/>
      <c r="C182" s="13"/>
      <c r="D182" s="13"/>
      <c r="E182" s="18"/>
      <c r="F182" s="13"/>
      <c r="G182" s="19"/>
      <c r="H182" s="3"/>
      <c r="I182" s="14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20"/>
      <c r="B183" s="18"/>
      <c r="C183" s="13"/>
      <c r="D183" s="13"/>
      <c r="E183" s="18"/>
      <c r="F183" s="13"/>
      <c r="G183" s="19"/>
      <c r="H183" s="3"/>
      <c r="I183" s="14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20"/>
      <c r="B184" s="18"/>
      <c r="C184" s="13"/>
      <c r="D184" s="13"/>
      <c r="E184" s="18"/>
      <c r="F184" s="13"/>
      <c r="G184" s="19"/>
      <c r="H184" s="3"/>
      <c r="I184" s="14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20"/>
      <c r="B185" s="18"/>
      <c r="C185" s="13"/>
      <c r="D185" s="13"/>
      <c r="E185" s="18"/>
      <c r="F185" s="13"/>
      <c r="G185" s="19"/>
      <c r="H185" s="3"/>
      <c r="I185" s="14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20"/>
      <c r="B186" s="18"/>
      <c r="C186" s="13"/>
      <c r="D186" s="13"/>
      <c r="E186" s="18"/>
      <c r="F186" s="13"/>
      <c r="G186" s="19"/>
      <c r="H186" s="3"/>
      <c r="I186" s="14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20"/>
      <c r="B187" s="18"/>
      <c r="C187" s="13"/>
      <c r="D187" s="13"/>
      <c r="E187" s="18"/>
      <c r="F187" s="13"/>
      <c r="G187" s="19"/>
      <c r="H187" s="3"/>
      <c r="I187" s="14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20"/>
      <c r="B188" s="18"/>
      <c r="C188" s="13"/>
      <c r="D188" s="13"/>
      <c r="E188" s="18"/>
      <c r="F188" s="13"/>
      <c r="G188" s="19"/>
      <c r="H188" s="3"/>
      <c r="I188" s="14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20"/>
      <c r="B189" s="18"/>
      <c r="C189" s="13"/>
      <c r="D189" s="13"/>
      <c r="E189" s="18"/>
      <c r="F189" s="13"/>
      <c r="G189" s="19"/>
      <c r="H189" s="3"/>
      <c r="I189" s="14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20"/>
      <c r="B190" s="18"/>
      <c r="C190" s="13"/>
      <c r="D190" s="13"/>
      <c r="E190" s="18"/>
      <c r="F190" s="13"/>
      <c r="G190" s="19"/>
      <c r="H190" s="3"/>
      <c r="I190" s="14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20"/>
      <c r="B191" s="18"/>
      <c r="C191" s="13"/>
      <c r="D191" s="13"/>
      <c r="E191" s="18"/>
      <c r="F191" s="13"/>
      <c r="G191" s="19"/>
      <c r="H191" s="3"/>
      <c r="I191" s="14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20"/>
      <c r="B192" s="18"/>
      <c r="C192" s="13"/>
      <c r="D192" s="13"/>
      <c r="E192" s="18"/>
      <c r="F192" s="13"/>
      <c r="G192" s="19"/>
      <c r="H192" s="3"/>
      <c r="I192" s="14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20"/>
      <c r="B193" s="18"/>
      <c r="C193" s="13"/>
      <c r="D193" s="13"/>
      <c r="E193" s="18"/>
      <c r="F193" s="13"/>
      <c r="G193" s="19"/>
      <c r="H193" s="3"/>
      <c r="I193" s="14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20"/>
      <c r="B194" s="18"/>
      <c r="C194" s="13"/>
      <c r="D194" s="13"/>
      <c r="E194" s="18"/>
      <c r="F194" s="13"/>
      <c r="G194" s="19"/>
      <c r="H194" s="3"/>
      <c r="I194" s="14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20"/>
      <c r="B195" s="18"/>
      <c r="C195" s="13"/>
      <c r="D195" s="13"/>
      <c r="E195" s="18"/>
      <c r="F195" s="13"/>
      <c r="G195" s="19"/>
      <c r="H195" s="3"/>
      <c r="I195" s="14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20"/>
      <c r="B196" s="18"/>
      <c r="C196" s="13"/>
      <c r="D196" s="13"/>
      <c r="E196" s="18"/>
      <c r="F196" s="13"/>
      <c r="G196" s="19"/>
      <c r="H196" s="3"/>
      <c r="I196" s="14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20"/>
      <c r="B197" s="18"/>
      <c r="C197" s="13"/>
      <c r="D197" s="13"/>
      <c r="E197" s="18"/>
      <c r="F197" s="13"/>
      <c r="G197" s="19"/>
      <c r="H197" s="3"/>
      <c r="I197" s="14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20"/>
      <c r="B198" s="18"/>
      <c r="C198" s="13"/>
      <c r="D198" s="13"/>
      <c r="E198" s="18"/>
      <c r="F198" s="13"/>
      <c r="G198" s="19"/>
      <c r="H198" s="3"/>
      <c r="I198" s="14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20"/>
      <c r="B199" s="18"/>
      <c r="C199" s="13"/>
      <c r="D199" s="13"/>
      <c r="E199" s="18"/>
      <c r="F199" s="13"/>
      <c r="G199" s="19"/>
      <c r="H199" s="3"/>
      <c r="I199" s="14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20"/>
      <c r="B200" s="18"/>
      <c r="C200" s="13"/>
      <c r="D200" s="13"/>
      <c r="E200" s="18"/>
      <c r="F200" s="13"/>
      <c r="G200" s="19"/>
      <c r="H200" s="3"/>
      <c r="I200" s="14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20"/>
      <c r="B201" s="18"/>
      <c r="C201" s="13"/>
      <c r="D201" s="13"/>
      <c r="E201" s="18"/>
      <c r="F201" s="13"/>
      <c r="G201" s="19"/>
      <c r="H201" s="3"/>
      <c r="I201" s="14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20"/>
      <c r="B202" s="18"/>
      <c r="C202" s="13"/>
      <c r="D202" s="13"/>
      <c r="E202" s="18"/>
      <c r="F202" s="13"/>
      <c r="G202" s="19"/>
      <c r="H202" s="3"/>
      <c r="I202" s="14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20"/>
      <c r="B203" s="18"/>
      <c r="C203" s="13"/>
      <c r="D203" s="13"/>
      <c r="E203" s="18"/>
      <c r="F203" s="13"/>
      <c r="G203" s="19"/>
      <c r="H203" s="3"/>
      <c r="I203" s="14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20"/>
      <c r="B204" s="18"/>
      <c r="C204" s="13"/>
      <c r="D204" s="13"/>
      <c r="E204" s="18"/>
      <c r="F204" s="13"/>
      <c r="G204" s="19"/>
      <c r="H204" s="3"/>
      <c r="I204" s="14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20"/>
      <c r="B205" s="18"/>
      <c r="C205" s="13"/>
      <c r="D205" s="13"/>
      <c r="E205" s="18"/>
      <c r="F205" s="13"/>
      <c r="G205" s="19"/>
      <c r="H205" s="3"/>
      <c r="I205" s="14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20"/>
      <c r="B206" s="18"/>
      <c r="C206" s="13"/>
      <c r="D206" s="13"/>
      <c r="E206" s="18"/>
      <c r="F206" s="13"/>
      <c r="G206" s="19"/>
      <c r="H206" s="3"/>
      <c r="I206" s="14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20"/>
      <c r="B207" s="18"/>
      <c r="C207" s="13"/>
      <c r="D207" s="13"/>
      <c r="E207" s="18"/>
      <c r="F207" s="13"/>
      <c r="G207" s="19"/>
      <c r="H207" s="3"/>
      <c r="I207" s="14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20"/>
      <c r="B208" s="18"/>
      <c r="C208" s="13"/>
      <c r="D208" s="13"/>
      <c r="E208" s="18"/>
      <c r="F208" s="13"/>
      <c r="G208" s="19"/>
      <c r="H208" s="3"/>
      <c r="I208" s="14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20"/>
      <c r="B209" s="18"/>
      <c r="C209" s="13"/>
      <c r="D209" s="13"/>
      <c r="E209" s="18"/>
      <c r="F209" s="13"/>
      <c r="G209" s="19"/>
      <c r="H209" s="3"/>
      <c r="I209" s="14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20"/>
      <c r="B210" s="18"/>
      <c r="C210" s="13"/>
      <c r="D210" s="13"/>
      <c r="E210" s="18"/>
      <c r="F210" s="13"/>
      <c r="G210" s="19"/>
      <c r="H210" s="3"/>
      <c r="I210" s="14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20"/>
      <c r="B211" s="18"/>
      <c r="C211" s="13"/>
      <c r="D211" s="13"/>
      <c r="E211" s="18"/>
      <c r="F211" s="13"/>
      <c r="G211" s="19"/>
      <c r="H211" s="3"/>
      <c r="I211" s="14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20"/>
      <c r="B212" s="18"/>
      <c r="C212" s="13"/>
      <c r="D212" s="13"/>
      <c r="E212" s="18"/>
      <c r="F212" s="13"/>
      <c r="G212" s="19"/>
      <c r="H212" s="3"/>
      <c r="I212" s="14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20"/>
      <c r="B213" s="18"/>
      <c r="C213" s="13"/>
      <c r="D213" s="13"/>
      <c r="E213" s="18"/>
      <c r="F213" s="13"/>
      <c r="G213" s="19"/>
      <c r="H213" s="3"/>
      <c r="I213" s="14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20"/>
      <c r="B214" s="18"/>
      <c r="C214" s="13"/>
      <c r="D214" s="13"/>
      <c r="E214" s="18"/>
      <c r="F214" s="13"/>
      <c r="G214" s="19"/>
      <c r="H214" s="3"/>
      <c r="I214" s="14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20"/>
      <c r="B215" s="18"/>
      <c r="C215" s="13"/>
      <c r="D215" s="13"/>
      <c r="E215" s="18"/>
      <c r="F215" s="13"/>
      <c r="G215" s="19"/>
      <c r="H215" s="3"/>
      <c r="I215" s="14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20"/>
      <c r="B216" s="18"/>
      <c r="C216" s="13"/>
      <c r="D216" s="13"/>
      <c r="E216" s="18"/>
      <c r="F216" s="13"/>
      <c r="G216" s="19"/>
      <c r="H216" s="3"/>
      <c r="I216" s="14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20"/>
      <c r="B217" s="18"/>
      <c r="C217" s="13"/>
      <c r="D217" s="13"/>
      <c r="E217" s="18"/>
      <c r="F217" s="13"/>
      <c r="G217" s="19"/>
      <c r="H217" s="3"/>
      <c r="I217" s="14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20"/>
      <c r="B218" s="18"/>
      <c r="C218" s="13"/>
      <c r="D218" s="13"/>
      <c r="E218" s="18"/>
      <c r="F218" s="13"/>
      <c r="G218" s="19"/>
      <c r="H218" s="3"/>
      <c r="I218" s="14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20"/>
      <c r="B219" s="18"/>
      <c r="C219" s="13"/>
      <c r="D219" s="13"/>
      <c r="E219" s="18"/>
      <c r="F219" s="13"/>
      <c r="G219" s="19"/>
      <c r="H219" s="3"/>
      <c r="I219" s="14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20"/>
      <c r="B220" s="18"/>
      <c r="C220" s="13"/>
      <c r="D220" s="13"/>
      <c r="E220" s="18"/>
      <c r="F220" s="13"/>
      <c r="G220" s="19"/>
      <c r="H220" s="3"/>
      <c r="I220" s="14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20"/>
      <c r="B221" s="18"/>
      <c r="C221" s="13"/>
      <c r="D221" s="13"/>
      <c r="E221" s="18"/>
      <c r="F221" s="13"/>
      <c r="G221" s="19"/>
      <c r="H221" s="3"/>
      <c r="I221" s="14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20"/>
      <c r="B222" s="18"/>
      <c r="C222" s="13"/>
      <c r="D222" s="13"/>
      <c r="E222" s="18"/>
      <c r="F222" s="13"/>
      <c r="G222" s="19"/>
      <c r="H222" s="3"/>
      <c r="I222" s="14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20"/>
      <c r="B223" s="18"/>
      <c r="C223" s="13"/>
      <c r="D223" s="13"/>
      <c r="E223" s="18"/>
      <c r="F223" s="13"/>
      <c r="G223" s="19"/>
      <c r="H223" s="3"/>
      <c r="I223" s="14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20"/>
      <c r="B224" s="18"/>
      <c r="C224" s="13"/>
      <c r="D224" s="13"/>
      <c r="E224" s="18"/>
      <c r="F224" s="13"/>
      <c r="G224" s="19"/>
      <c r="H224" s="3"/>
      <c r="I224" s="14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20"/>
      <c r="B225" s="18"/>
      <c r="C225" s="13"/>
      <c r="D225" s="13"/>
      <c r="E225" s="18"/>
      <c r="F225" s="13"/>
      <c r="G225" s="19"/>
      <c r="H225" s="3"/>
      <c r="I225" s="14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20"/>
      <c r="B226" s="18"/>
      <c r="C226" s="13"/>
      <c r="D226" s="13"/>
      <c r="E226" s="18"/>
      <c r="F226" s="13"/>
      <c r="G226" s="19"/>
      <c r="H226" s="3"/>
      <c r="I226" s="14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20"/>
      <c r="B227" s="18"/>
      <c r="C227" s="13"/>
      <c r="D227" s="13"/>
      <c r="E227" s="18"/>
      <c r="F227" s="13"/>
      <c r="G227" s="19"/>
      <c r="H227" s="3"/>
      <c r="I227" s="14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20"/>
      <c r="B228" s="18"/>
      <c r="C228" s="13"/>
      <c r="D228" s="13"/>
      <c r="E228" s="18"/>
      <c r="F228" s="13"/>
      <c r="G228" s="19"/>
      <c r="H228" s="3"/>
      <c r="I228" s="14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20"/>
      <c r="B229" s="18"/>
      <c r="C229" s="13"/>
      <c r="D229" s="13"/>
      <c r="E229" s="18"/>
      <c r="F229" s="13"/>
      <c r="G229" s="19"/>
      <c r="H229" s="3"/>
      <c r="I229" s="14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20"/>
      <c r="B230" s="18"/>
      <c r="C230" s="13"/>
      <c r="D230" s="13"/>
      <c r="E230" s="18"/>
      <c r="F230" s="13"/>
      <c r="G230" s="19"/>
      <c r="H230" s="3"/>
      <c r="I230" s="14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20"/>
      <c r="B231" s="18"/>
      <c r="C231" s="13"/>
      <c r="D231" s="13"/>
      <c r="E231" s="18"/>
      <c r="F231" s="13"/>
      <c r="G231" s="19"/>
      <c r="H231" s="3"/>
      <c r="I231" s="14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20"/>
      <c r="B232" s="18"/>
      <c r="C232" s="13"/>
      <c r="D232" s="13"/>
      <c r="E232" s="18"/>
      <c r="F232" s="13"/>
      <c r="G232" s="19"/>
      <c r="H232" s="3"/>
      <c r="I232" s="14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20"/>
      <c r="B233" s="18"/>
      <c r="C233" s="13"/>
      <c r="D233" s="13"/>
      <c r="E233" s="18"/>
      <c r="F233" s="13"/>
      <c r="G233" s="19"/>
      <c r="H233" s="3"/>
      <c r="I233" s="14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20"/>
      <c r="B234" s="18"/>
      <c r="C234" s="13"/>
      <c r="D234" s="13"/>
      <c r="E234" s="18"/>
      <c r="F234" s="13"/>
      <c r="G234" s="19"/>
      <c r="H234" s="3"/>
      <c r="I234" s="14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20"/>
      <c r="B235" s="18"/>
      <c r="C235" s="13"/>
      <c r="D235" s="13"/>
      <c r="E235" s="18"/>
      <c r="F235" s="13"/>
      <c r="G235" s="19"/>
      <c r="H235" s="3"/>
      <c r="I235" s="14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20"/>
      <c r="B236" s="18"/>
      <c r="C236" s="13"/>
      <c r="D236" s="13"/>
      <c r="E236" s="18"/>
      <c r="F236" s="13"/>
      <c r="G236" s="19"/>
      <c r="H236" s="3"/>
      <c r="I236" s="14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20"/>
      <c r="B237" s="18"/>
      <c r="C237" s="13"/>
      <c r="D237" s="13"/>
      <c r="E237" s="18"/>
      <c r="F237" s="13"/>
      <c r="G237" s="19"/>
      <c r="H237" s="3"/>
      <c r="I237" s="14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20"/>
      <c r="B238" s="18"/>
      <c r="C238" s="13"/>
      <c r="D238" s="13"/>
      <c r="E238" s="18"/>
      <c r="F238" s="13"/>
      <c r="G238" s="19"/>
      <c r="H238" s="3"/>
      <c r="I238" s="14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20"/>
      <c r="B239" s="18"/>
      <c r="C239" s="13"/>
      <c r="D239" s="13"/>
      <c r="E239" s="18"/>
      <c r="F239" s="13"/>
      <c r="G239" s="19"/>
      <c r="H239" s="3"/>
      <c r="I239" s="14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20"/>
      <c r="B240" s="18"/>
      <c r="C240" s="13"/>
      <c r="D240" s="13"/>
      <c r="E240" s="18"/>
      <c r="F240" s="13"/>
      <c r="G240" s="19"/>
      <c r="H240" s="3"/>
      <c r="I240" s="14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20"/>
      <c r="B241" s="18"/>
      <c r="C241" s="13"/>
      <c r="D241" s="13"/>
      <c r="E241" s="18"/>
      <c r="F241" s="13"/>
      <c r="G241" s="19"/>
      <c r="H241" s="3"/>
      <c r="I241" s="14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20"/>
      <c r="B242" s="18"/>
      <c r="C242" s="13"/>
      <c r="D242" s="13"/>
      <c r="E242" s="18"/>
      <c r="F242" s="13"/>
      <c r="G242" s="19"/>
      <c r="H242" s="3"/>
      <c r="I242" s="14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20"/>
      <c r="B243" s="18"/>
      <c r="C243" s="13"/>
      <c r="D243" s="13"/>
      <c r="E243" s="18"/>
      <c r="F243" s="13"/>
      <c r="G243" s="19"/>
      <c r="H243" s="3"/>
      <c r="I243" s="14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20"/>
      <c r="B244" s="18"/>
      <c r="C244" s="13"/>
      <c r="D244" s="13"/>
      <c r="E244" s="18"/>
      <c r="F244" s="13"/>
      <c r="G244" s="19"/>
      <c r="H244" s="3"/>
      <c r="I244" s="14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">
    <mergeCell ref="A1:I1"/>
  </mergeCells>
  <conditionalFormatting sqref="A3:A14">
    <cfRule type="containsText" dxfId="0" priority="1" operator="containsText" text="ADALGIZA">
      <formula>NOT(ISERROR(SEARCH(("ADALGIZA"),(A3))))</formula>
    </cfRule>
  </conditionalFormatting>
  <dataValidations>
    <dataValidation type="list" allowBlank="1" showErrorMessage="1" sqref="H3:H5 H18:H21">
      <formula1>formularios!$I$2:$I$12</formula1>
    </dataValidation>
    <dataValidation type="list" allowBlank="1" showErrorMessage="1" sqref="H6:H17">
      <formula1>formularios!$I$2:$I$17</formula1>
    </dataValidation>
    <dataValidation type="list" allowBlank="1" showErrorMessage="1" sqref="I3:I33">
      <formula1>"Almoço,Jantar,Recreio"</formula1>
    </dataValidation>
    <dataValidation type="list" allowBlank="1" showErrorMessage="1" sqref="D2:D29 D34:D1000">
      <formula1>"Matutino,Vespertino,Noturno,Integral"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6.71"/>
    <col customWidth="1" min="3" max="3" width="13.29"/>
    <col customWidth="1" min="4" max="4" width="14.29"/>
    <col customWidth="1" min="5" max="5" width="14.71"/>
    <col customWidth="1" min="6" max="6" width="17.57"/>
    <col customWidth="1" min="7" max="8" width="16.43"/>
    <col customWidth="1" min="9" max="10" width="14.14"/>
    <col customWidth="1" min="11" max="11" width="17.86"/>
    <col customWidth="1" min="12" max="12" width="13.29"/>
    <col customWidth="1" min="13" max="13" width="17.57"/>
    <col customWidth="1" min="14" max="16" width="14.14"/>
    <col customWidth="1" min="17" max="21" width="13.86"/>
    <col customWidth="1" min="22" max="22" width="14.14"/>
    <col customWidth="1" min="23" max="27" width="13.86"/>
  </cols>
  <sheetData>
    <row r="1">
      <c r="A1" s="22" t="s">
        <v>74</v>
      </c>
      <c r="B1" s="23" t="s">
        <v>75</v>
      </c>
      <c r="C1" s="22" t="s">
        <v>76</v>
      </c>
      <c r="D1" s="23" t="s">
        <v>77</v>
      </c>
      <c r="E1" s="23" t="s">
        <v>78</v>
      </c>
      <c r="F1" s="23" t="s">
        <v>79</v>
      </c>
      <c r="G1" s="22" t="s">
        <v>80</v>
      </c>
      <c r="H1" s="23" t="s">
        <v>81</v>
      </c>
      <c r="I1" s="23" t="s">
        <v>82</v>
      </c>
      <c r="J1" s="23" t="s">
        <v>83</v>
      </c>
      <c r="K1" s="23" t="s">
        <v>84</v>
      </c>
      <c r="L1" s="23" t="s">
        <v>85</v>
      </c>
      <c r="M1" s="23" t="s">
        <v>86</v>
      </c>
      <c r="N1" s="23" t="s">
        <v>87</v>
      </c>
      <c r="O1" s="22" t="s">
        <v>88</v>
      </c>
      <c r="P1" s="23">
        <v>61.0</v>
      </c>
      <c r="Q1" s="23">
        <v>71.0</v>
      </c>
      <c r="R1" s="23">
        <v>72.0</v>
      </c>
      <c r="S1" s="23">
        <v>81.0</v>
      </c>
      <c r="T1" s="23">
        <v>91.0</v>
      </c>
      <c r="U1" s="23">
        <v>92.0</v>
      </c>
      <c r="V1" s="23">
        <v>62.0</v>
      </c>
      <c r="W1" s="23">
        <v>63.0</v>
      </c>
      <c r="X1" s="24">
        <v>73.0</v>
      </c>
      <c r="Y1" s="23">
        <v>82.0</v>
      </c>
      <c r="Z1" s="23">
        <v>83.0</v>
      </c>
      <c r="AA1" s="23">
        <v>93.0</v>
      </c>
    </row>
    <row r="2">
      <c r="A2" s="22" t="s">
        <v>74</v>
      </c>
      <c r="B2" s="23" t="s">
        <v>75</v>
      </c>
      <c r="C2" s="22" t="s">
        <v>76</v>
      </c>
      <c r="D2" s="23" t="s">
        <v>77</v>
      </c>
      <c r="E2" s="23" t="s">
        <v>78</v>
      </c>
      <c r="F2" s="23" t="s">
        <v>79</v>
      </c>
      <c r="G2" s="22" t="s">
        <v>80</v>
      </c>
      <c r="H2" s="23" t="s">
        <v>81</v>
      </c>
      <c r="I2" s="23" t="s">
        <v>82</v>
      </c>
      <c r="J2" s="23" t="s">
        <v>83</v>
      </c>
      <c r="K2" s="23" t="s">
        <v>84</v>
      </c>
      <c r="L2" s="23" t="s">
        <v>85</v>
      </c>
      <c r="M2" s="23" t="s">
        <v>86</v>
      </c>
      <c r="N2" s="23" t="s">
        <v>87</v>
      </c>
      <c r="O2" s="22" t="s">
        <v>88</v>
      </c>
      <c r="P2" s="23">
        <v>61.0</v>
      </c>
      <c r="Q2" s="23">
        <v>71.0</v>
      </c>
      <c r="R2" s="23">
        <v>72.0</v>
      </c>
      <c r="S2" s="23">
        <v>81.0</v>
      </c>
      <c r="T2" s="23">
        <v>91.0</v>
      </c>
      <c r="U2" s="23">
        <v>92.0</v>
      </c>
      <c r="V2" s="23">
        <v>62.0</v>
      </c>
      <c r="W2" s="23">
        <v>63.0</v>
      </c>
      <c r="X2" s="24">
        <v>73.0</v>
      </c>
      <c r="Y2" s="23">
        <v>82.0</v>
      </c>
      <c r="Z2" s="23">
        <v>83.0</v>
      </c>
      <c r="AA2" s="23">
        <v>93.0</v>
      </c>
    </row>
    <row r="3">
      <c r="A3" s="22" t="s">
        <v>74</v>
      </c>
      <c r="B3" s="23" t="s">
        <v>75</v>
      </c>
      <c r="C3" s="22" t="s">
        <v>76</v>
      </c>
      <c r="D3" s="23" t="s">
        <v>77</v>
      </c>
      <c r="E3" s="23" t="s">
        <v>78</v>
      </c>
      <c r="F3" s="23" t="s">
        <v>79</v>
      </c>
      <c r="G3" s="22" t="s">
        <v>80</v>
      </c>
      <c r="H3" s="23" t="s">
        <v>81</v>
      </c>
      <c r="I3" s="23" t="s">
        <v>82</v>
      </c>
      <c r="J3" s="23" t="s">
        <v>83</v>
      </c>
      <c r="K3" s="23" t="s">
        <v>84</v>
      </c>
      <c r="L3" s="23" t="s">
        <v>85</v>
      </c>
      <c r="M3" s="23" t="s">
        <v>86</v>
      </c>
      <c r="N3" s="23" t="s">
        <v>87</v>
      </c>
      <c r="O3" s="22" t="s">
        <v>88</v>
      </c>
      <c r="P3" s="23">
        <v>61.0</v>
      </c>
      <c r="Q3" s="23">
        <v>71.0</v>
      </c>
      <c r="R3" s="23">
        <v>72.0</v>
      </c>
      <c r="S3" s="23">
        <v>81.0</v>
      </c>
      <c r="T3" s="23">
        <v>91.0</v>
      </c>
      <c r="U3" s="23">
        <v>92.0</v>
      </c>
      <c r="V3" s="23">
        <v>62.0</v>
      </c>
      <c r="W3" s="23">
        <v>63.0</v>
      </c>
      <c r="X3" s="24">
        <v>73.0</v>
      </c>
      <c r="Y3" s="23">
        <v>82.0</v>
      </c>
      <c r="Z3" s="23">
        <v>83.0</v>
      </c>
      <c r="AA3" s="23">
        <v>93.0</v>
      </c>
    </row>
    <row r="4">
      <c r="A4" s="22" t="s">
        <v>74</v>
      </c>
      <c r="B4" s="23" t="s">
        <v>75</v>
      </c>
      <c r="C4" s="22" t="s">
        <v>76</v>
      </c>
      <c r="D4" s="23" t="s">
        <v>77</v>
      </c>
      <c r="E4" s="23" t="s">
        <v>78</v>
      </c>
      <c r="F4" s="23" t="s">
        <v>79</v>
      </c>
      <c r="G4" s="22" t="s">
        <v>80</v>
      </c>
      <c r="H4" s="23" t="s">
        <v>81</v>
      </c>
      <c r="I4" s="23" t="s">
        <v>82</v>
      </c>
      <c r="J4" s="23" t="s">
        <v>83</v>
      </c>
      <c r="K4" s="23" t="s">
        <v>84</v>
      </c>
      <c r="L4" s="23" t="s">
        <v>85</v>
      </c>
      <c r="M4" s="23" t="s">
        <v>86</v>
      </c>
      <c r="N4" s="23" t="s">
        <v>87</v>
      </c>
      <c r="O4" s="22" t="s">
        <v>88</v>
      </c>
      <c r="P4" s="23">
        <v>61.0</v>
      </c>
      <c r="Q4" s="23">
        <v>71.0</v>
      </c>
      <c r="R4" s="23">
        <v>72.0</v>
      </c>
      <c r="S4" s="23">
        <v>81.0</v>
      </c>
      <c r="T4" s="23">
        <v>91.0</v>
      </c>
      <c r="U4" s="23">
        <v>92.0</v>
      </c>
      <c r="V4" s="23">
        <v>62.0</v>
      </c>
      <c r="W4" s="23">
        <v>63.0</v>
      </c>
      <c r="X4" s="24">
        <v>73.0</v>
      </c>
      <c r="Y4" s="23">
        <v>82.0</v>
      </c>
      <c r="Z4" s="23">
        <v>83.0</v>
      </c>
      <c r="AA4" s="23">
        <v>93.0</v>
      </c>
    </row>
    <row r="5">
      <c r="A5" s="22" t="s">
        <v>74</v>
      </c>
      <c r="B5" s="23" t="s">
        <v>75</v>
      </c>
      <c r="C5" s="22" t="s">
        <v>76</v>
      </c>
      <c r="D5" s="23" t="s">
        <v>77</v>
      </c>
      <c r="E5" s="23" t="s">
        <v>78</v>
      </c>
      <c r="F5" s="23" t="s">
        <v>79</v>
      </c>
      <c r="G5" s="22" t="s">
        <v>80</v>
      </c>
      <c r="H5" s="23" t="s">
        <v>81</v>
      </c>
      <c r="I5" s="23" t="s">
        <v>82</v>
      </c>
      <c r="J5" s="23" t="s">
        <v>83</v>
      </c>
      <c r="K5" s="23" t="s">
        <v>84</v>
      </c>
      <c r="L5" s="23" t="s">
        <v>85</v>
      </c>
      <c r="M5" s="23" t="s">
        <v>86</v>
      </c>
      <c r="N5" s="23" t="s">
        <v>87</v>
      </c>
      <c r="O5" s="22" t="s">
        <v>88</v>
      </c>
      <c r="P5" s="23">
        <v>61.0</v>
      </c>
      <c r="Q5" s="23">
        <v>71.0</v>
      </c>
      <c r="R5" s="23">
        <v>72.0</v>
      </c>
      <c r="S5" s="23">
        <v>81.0</v>
      </c>
      <c r="T5" s="23">
        <v>91.0</v>
      </c>
      <c r="U5" s="23">
        <v>92.0</v>
      </c>
      <c r="V5" s="23">
        <v>62.0</v>
      </c>
      <c r="W5" s="23">
        <v>63.0</v>
      </c>
      <c r="X5" s="24">
        <v>73.0</v>
      </c>
      <c r="Y5" s="23">
        <v>82.0</v>
      </c>
      <c r="Z5" s="23">
        <v>83.0</v>
      </c>
      <c r="AA5" s="23">
        <v>93.0</v>
      </c>
    </row>
    <row r="6">
      <c r="A6" s="25" t="s">
        <v>89</v>
      </c>
      <c r="B6" s="26" t="s">
        <v>90</v>
      </c>
      <c r="C6" s="27" t="s">
        <v>91</v>
      </c>
      <c r="D6" s="28" t="s">
        <v>92</v>
      </c>
      <c r="E6" s="29" t="s">
        <v>93</v>
      </c>
      <c r="F6" s="27" t="s">
        <v>94</v>
      </c>
      <c r="G6" s="29" t="s">
        <v>93</v>
      </c>
      <c r="H6" s="26" t="s">
        <v>95</v>
      </c>
      <c r="I6" s="28" t="s">
        <v>96</v>
      </c>
      <c r="J6" s="25" t="s">
        <v>97</v>
      </c>
      <c r="K6" s="27" t="s">
        <v>91</v>
      </c>
      <c r="L6" s="29" t="s">
        <v>93</v>
      </c>
      <c r="M6" s="28" t="s">
        <v>92</v>
      </c>
      <c r="N6" s="29" t="s">
        <v>93</v>
      </c>
      <c r="O6" s="27" t="s">
        <v>98</v>
      </c>
      <c r="P6" s="30" t="s">
        <v>99</v>
      </c>
      <c r="Q6" s="27" t="s">
        <v>100</v>
      </c>
      <c r="R6" s="31" t="s">
        <v>101</v>
      </c>
      <c r="S6" s="32" t="s">
        <v>102</v>
      </c>
      <c r="T6" s="32" t="s">
        <v>103</v>
      </c>
      <c r="U6" s="33" t="s">
        <v>104</v>
      </c>
      <c r="V6" s="31" t="s">
        <v>105</v>
      </c>
      <c r="W6" s="33" t="s">
        <v>104</v>
      </c>
      <c r="X6" s="26" t="s">
        <v>95</v>
      </c>
      <c r="Y6" s="33" t="s">
        <v>106</v>
      </c>
      <c r="Z6" s="28" t="s">
        <v>107</v>
      </c>
      <c r="AA6" s="32" t="s">
        <v>103</v>
      </c>
    </row>
    <row r="7">
      <c r="A7" s="28" t="s">
        <v>92</v>
      </c>
      <c r="B7" s="26" t="s">
        <v>90</v>
      </c>
      <c r="C7" s="29" t="s">
        <v>93</v>
      </c>
      <c r="D7" s="29" t="s">
        <v>93</v>
      </c>
      <c r="E7" s="29" t="s">
        <v>93</v>
      </c>
      <c r="F7" s="29" t="s">
        <v>93</v>
      </c>
      <c r="G7" s="29" t="s">
        <v>93</v>
      </c>
      <c r="H7" s="27" t="s">
        <v>100</v>
      </c>
      <c r="I7" s="25" t="s">
        <v>97</v>
      </c>
      <c r="J7" s="26" t="s">
        <v>95</v>
      </c>
      <c r="K7" s="28" t="s">
        <v>92</v>
      </c>
      <c r="L7" s="29" t="s">
        <v>93</v>
      </c>
      <c r="M7" s="29" t="s">
        <v>93</v>
      </c>
      <c r="N7" s="29" t="s">
        <v>93</v>
      </c>
      <c r="O7" s="29" t="s">
        <v>93</v>
      </c>
      <c r="P7" s="28" t="s">
        <v>96</v>
      </c>
      <c r="Q7" s="31" t="s">
        <v>101</v>
      </c>
      <c r="R7" s="30" t="s">
        <v>99</v>
      </c>
      <c r="S7" s="33" t="s">
        <v>106</v>
      </c>
      <c r="T7" s="31" t="s">
        <v>105</v>
      </c>
      <c r="U7" s="33" t="s">
        <v>104</v>
      </c>
      <c r="V7" s="26" t="s">
        <v>95</v>
      </c>
      <c r="W7" s="34" t="s">
        <v>102</v>
      </c>
      <c r="X7" s="30" t="s">
        <v>99</v>
      </c>
      <c r="Y7" s="33" t="s">
        <v>106</v>
      </c>
      <c r="Z7" s="28" t="s">
        <v>107</v>
      </c>
      <c r="AA7" s="31" t="s">
        <v>105</v>
      </c>
    </row>
    <row r="8">
      <c r="A8" s="26" t="s">
        <v>90</v>
      </c>
      <c r="B8" s="27" t="s">
        <v>91</v>
      </c>
      <c r="C8" s="29" t="s">
        <v>93</v>
      </c>
      <c r="D8" s="29" t="s">
        <v>93</v>
      </c>
      <c r="E8" s="29" t="s">
        <v>93</v>
      </c>
      <c r="F8" s="29" t="s">
        <v>93</v>
      </c>
      <c r="G8" s="29" t="s">
        <v>93</v>
      </c>
      <c r="H8" s="27" t="s">
        <v>100</v>
      </c>
      <c r="I8" s="25" t="s">
        <v>97</v>
      </c>
      <c r="J8" s="31" t="s">
        <v>108</v>
      </c>
      <c r="K8" s="25" t="s">
        <v>89</v>
      </c>
      <c r="L8" s="28" t="s">
        <v>92</v>
      </c>
      <c r="M8" s="29" t="s">
        <v>93</v>
      </c>
      <c r="N8" s="29" t="s">
        <v>93</v>
      </c>
      <c r="O8" s="29" t="s">
        <v>93</v>
      </c>
      <c r="P8" s="26" t="s">
        <v>95</v>
      </c>
      <c r="Q8" s="30" t="s">
        <v>99</v>
      </c>
      <c r="R8" s="33" t="s">
        <v>109</v>
      </c>
      <c r="S8" s="33" t="s">
        <v>106</v>
      </c>
      <c r="T8" s="33" t="s">
        <v>104</v>
      </c>
      <c r="U8" s="32" t="s">
        <v>103</v>
      </c>
      <c r="V8" s="34" t="s">
        <v>102</v>
      </c>
      <c r="W8" s="28" t="s">
        <v>107</v>
      </c>
      <c r="X8" s="30" t="s">
        <v>99</v>
      </c>
      <c r="Y8" s="31" t="s">
        <v>101</v>
      </c>
      <c r="Z8" s="33" t="s">
        <v>106</v>
      </c>
      <c r="AA8" s="31" t="s">
        <v>105</v>
      </c>
    </row>
    <row r="9">
      <c r="A9" s="26" t="s">
        <v>90</v>
      </c>
      <c r="B9" s="27" t="s">
        <v>91</v>
      </c>
      <c r="C9" s="29" t="s">
        <v>93</v>
      </c>
      <c r="D9" s="29" t="s">
        <v>93</v>
      </c>
      <c r="E9" s="29" t="s">
        <v>93</v>
      </c>
      <c r="F9" s="29" t="s">
        <v>93</v>
      </c>
      <c r="G9" s="29" t="s">
        <v>93</v>
      </c>
      <c r="H9" s="28" t="s">
        <v>96</v>
      </c>
      <c r="I9" s="26" t="s">
        <v>95</v>
      </c>
      <c r="J9" s="31" t="s">
        <v>108</v>
      </c>
      <c r="K9" s="25" t="s">
        <v>89</v>
      </c>
      <c r="L9" s="28" t="s">
        <v>92</v>
      </c>
      <c r="M9" s="29" t="s">
        <v>93</v>
      </c>
      <c r="N9" s="29" t="s">
        <v>93</v>
      </c>
      <c r="O9" s="29" t="s">
        <v>93</v>
      </c>
      <c r="P9" s="34" t="s">
        <v>102</v>
      </c>
      <c r="Q9" s="30" t="s">
        <v>99</v>
      </c>
      <c r="R9" s="33" t="s">
        <v>109</v>
      </c>
      <c r="S9" s="27" t="s">
        <v>100</v>
      </c>
      <c r="T9" s="33" t="s">
        <v>104</v>
      </c>
      <c r="U9" s="32" t="s">
        <v>103</v>
      </c>
      <c r="V9" s="30" t="s">
        <v>99</v>
      </c>
      <c r="W9" s="28" t="s">
        <v>107</v>
      </c>
      <c r="X9" s="31" t="s">
        <v>105</v>
      </c>
      <c r="Y9" s="31" t="s">
        <v>101</v>
      </c>
      <c r="Z9" s="33" t="s">
        <v>106</v>
      </c>
      <c r="AA9" s="33" t="s">
        <v>104</v>
      </c>
    </row>
    <row r="10">
      <c r="A10" s="28" t="s">
        <v>92</v>
      </c>
      <c r="B10" s="25" t="s">
        <v>89</v>
      </c>
      <c r="C10" s="29" t="s">
        <v>93</v>
      </c>
      <c r="D10" s="29" t="s">
        <v>93</v>
      </c>
      <c r="E10" s="29" t="s">
        <v>93</v>
      </c>
      <c r="F10" s="29" t="s">
        <v>93</v>
      </c>
      <c r="G10" s="29" t="s">
        <v>93</v>
      </c>
      <c r="H10" s="35" t="s">
        <v>110</v>
      </c>
      <c r="I10" s="26" t="s">
        <v>95</v>
      </c>
      <c r="J10" s="29" t="s">
        <v>93</v>
      </c>
      <c r="K10" s="29" t="s">
        <v>93</v>
      </c>
      <c r="L10" s="29" t="s">
        <v>93</v>
      </c>
      <c r="M10" s="25" t="s">
        <v>89</v>
      </c>
      <c r="N10" s="29" t="s">
        <v>93</v>
      </c>
      <c r="O10" s="29" t="s">
        <v>93</v>
      </c>
      <c r="P10" s="35" t="s">
        <v>111</v>
      </c>
      <c r="Q10" s="34" t="s">
        <v>102</v>
      </c>
      <c r="R10" s="28" t="s">
        <v>107</v>
      </c>
      <c r="S10" s="35" t="s">
        <v>112</v>
      </c>
      <c r="T10" s="31" t="s">
        <v>105</v>
      </c>
      <c r="U10" s="26" t="s">
        <v>90</v>
      </c>
      <c r="V10" s="34" t="s">
        <v>102</v>
      </c>
      <c r="W10" s="30" t="s">
        <v>99</v>
      </c>
      <c r="X10" s="35" t="s">
        <v>111</v>
      </c>
      <c r="Y10" s="35" t="s">
        <v>112</v>
      </c>
      <c r="Z10" s="26" t="s">
        <v>90</v>
      </c>
      <c r="AA10" s="35" t="s">
        <v>113</v>
      </c>
    </row>
    <row r="11">
      <c r="A11" s="28" t="s">
        <v>92</v>
      </c>
      <c r="B11" s="25" t="s">
        <v>89</v>
      </c>
      <c r="C11" s="29" t="s">
        <v>93</v>
      </c>
      <c r="D11" s="29" t="s">
        <v>93</v>
      </c>
      <c r="E11" s="29" t="s">
        <v>93</v>
      </c>
      <c r="F11" s="29" t="s">
        <v>93</v>
      </c>
      <c r="G11" s="29" t="s">
        <v>93</v>
      </c>
      <c r="H11" s="29" t="s">
        <v>93</v>
      </c>
      <c r="I11" s="26" t="s">
        <v>95</v>
      </c>
      <c r="J11" s="29" t="s">
        <v>93</v>
      </c>
      <c r="K11" s="29" t="s">
        <v>93</v>
      </c>
      <c r="L11" s="29" t="s">
        <v>93</v>
      </c>
      <c r="M11" s="25" t="s">
        <v>89</v>
      </c>
      <c r="N11" s="29" t="s">
        <v>93</v>
      </c>
      <c r="O11" s="29" t="s">
        <v>93</v>
      </c>
      <c r="P11" s="35" t="s">
        <v>111</v>
      </c>
      <c r="Q11" s="34" t="s">
        <v>102</v>
      </c>
      <c r="R11" s="28" t="s">
        <v>107</v>
      </c>
      <c r="S11" s="35" t="s">
        <v>112</v>
      </c>
      <c r="T11" s="31" t="s">
        <v>105</v>
      </c>
      <c r="U11" s="26" t="s">
        <v>90</v>
      </c>
      <c r="V11" s="34" t="s">
        <v>102</v>
      </c>
      <c r="W11" s="30" t="s">
        <v>99</v>
      </c>
      <c r="X11" s="35" t="s">
        <v>111</v>
      </c>
      <c r="Y11" s="35" t="s">
        <v>112</v>
      </c>
      <c r="Z11" s="26" t="s">
        <v>90</v>
      </c>
      <c r="AA11" s="31" t="s">
        <v>105</v>
      </c>
    </row>
    <row r="12">
      <c r="A12" s="25" t="s">
        <v>89</v>
      </c>
      <c r="B12" s="28" t="s">
        <v>92</v>
      </c>
      <c r="C12" s="27" t="s">
        <v>91</v>
      </c>
      <c r="D12" s="29" t="s">
        <v>93</v>
      </c>
      <c r="E12" s="29" t="s">
        <v>93</v>
      </c>
      <c r="F12" s="26" t="s">
        <v>90</v>
      </c>
      <c r="G12" s="29" t="s">
        <v>93</v>
      </c>
      <c r="H12" s="26" t="s">
        <v>95</v>
      </c>
      <c r="I12" s="28" t="s">
        <v>96</v>
      </c>
      <c r="J12" s="25" t="s">
        <v>97</v>
      </c>
      <c r="K12" s="27" t="s">
        <v>91</v>
      </c>
      <c r="L12" s="29" t="s">
        <v>93</v>
      </c>
      <c r="M12" s="28" t="s">
        <v>92</v>
      </c>
      <c r="N12" s="29" t="s">
        <v>93</v>
      </c>
      <c r="O12" s="27" t="s">
        <v>98</v>
      </c>
      <c r="P12" s="30" t="s">
        <v>99</v>
      </c>
      <c r="Q12" s="27" t="s">
        <v>100</v>
      </c>
      <c r="R12" s="31" t="s">
        <v>101</v>
      </c>
      <c r="S12" s="34" t="s">
        <v>102</v>
      </c>
      <c r="T12" s="32" t="s">
        <v>103</v>
      </c>
      <c r="U12" s="31" t="s">
        <v>105</v>
      </c>
      <c r="V12" s="31" t="s">
        <v>105</v>
      </c>
      <c r="W12" s="33" t="s">
        <v>104</v>
      </c>
      <c r="X12" s="26" t="s">
        <v>95</v>
      </c>
      <c r="Y12" s="28" t="s">
        <v>107</v>
      </c>
      <c r="Z12" s="34" t="s">
        <v>102</v>
      </c>
      <c r="AA12" s="32" t="s">
        <v>103</v>
      </c>
    </row>
    <row r="13">
      <c r="A13" s="29" t="s">
        <v>93</v>
      </c>
      <c r="B13" s="28" t="s">
        <v>92</v>
      </c>
      <c r="C13" s="25" t="s">
        <v>89</v>
      </c>
      <c r="D13" s="26" t="s">
        <v>114</v>
      </c>
      <c r="E13" s="26" t="s">
        <v>90</v>
      </c>
      <c r="F13" s="29" t="s">
        <v>93</v>
      </c>
      <c r="G13" s="27" t="s">
        <v>94</v>
      </c>
      <c r="H13" s="29" t="s">
        <v>93</v>
      </c>
      <c r="I13" s="28" t="s">
        <v>96</v>
      </c>
      <c r="J13" s="29" t="s">
        <v>93</v>
      </c>
      <c r="K13" s="28" t="s">
        <v>92</v>
      </c>
      <c r="L13" s="27" t="s">
        <v>115</v>
      </c>
      <c r="M13" s="29" t="s">
        <v>93</v>
      </c>
      <c r="N13" s="25" t="s">
        <v>89</v>
      </c>
      <c r="O13" s="26" t="s">
        <v>114</v>
      </c>
      <c r="P13" s="27" t="s">
        <v>100</v>
      </c>
      <c r="Q13" s="26" t="s">
        <v>95</v>
      </c>
      <c r="R13" s="30" t="s">
        <v>99</v>
      </c>
      <c r="S13" s="28" t="s">
        <v>107</v>
      </c>
      <c r="T13" s="33" t="s">
        <v>104</v>
      </c>
      <c r="U13" s="35" t="s">
        <v>113</v>
      </c>
      <c r="V13" s="28" t="s">
        <v>96</v>
      </c>
      <c r="W13" s="35" t="s">
        <v>111</v>
      </c>
      <c r="X13" s="33" t="s">
        <v>109</v>
      </c>
      <c r="Y13" s="33" t="s">
        <v>106</v>
      </c>
      <c r="Z13" s="31" t="s">
        <v>105</v>
      </c>
      <c r="AA13" s="28" t="s">
        <v>107</v>
      </c>
    </row>
    <row r="14">
      <c r="A14" s="29" t="s">
        <v>93</v>
      </c>
      <c r="B14" s="28" t="s">
        <v>92</v>
      </c>
      <c r="C14" s="25" t="s">
        <v>89</v>
      </c>
      <c r="D14" s="26" t="s">
        <v>114</v>
      </c>
      <c r="E14" s="26" t="s">
        <v>90</v>
      </c>
      <c r="F14" s="29" t="s">
        <v>93</v>
      </c>
      <c r="G14" s="27" t="s">
        <v>94</v>
      </c>
      <c r="H14" s="29" t="s">
        <v>93</v>
      </c>
      <c r="I14" s="28" t="s">
        <v>96</v>
      </c>
      <c r="J14" s="29" t="s">
        <v>93</v>
      </c>
      <c r="K14" s="28" t="s">
        <v>92</v>
      </c>
      <c r="L14" s="27" t="s">
        <v>115</v>
      </c>
      <c r="M14" s="29" t="s">
        <v>93</v>
      </c>
      <c r="N14" s="25" t="s">
        <v>89</v>
      </c>
      <c r="O14" s="26" t="s">
        <v>114</v>
      </c>
      <c r="P14" s="27" t="s">
        <v>100</v>
      </c>
      <c r="Q14" s="26" t="s">
        <v>95</v>
      </c>
      <c r="R14" s="30" t="s">
        <v>99</v>
      </c>
      <c r="S14" s="34" t="s">
        <v>102</v>
      </c>
      <c r="T14" s="33" t="s">
        <v>104</v>
      </c>
      <c r="U14" s="35" t="s">
        <v>113</v>
      </c>
      <c r="V14" s="28" t="s">
        <v>96</v>
      </c>
      <c r="W14" s="35" t="s">
        <v>111</v>
      </c>
      <c r="X14" s="33" t="s">
        <v>109</v>
      </c>
      <c r="Y14" s="33" t="s">
        <v>106</v>
      </c>
      <c r="Z14" s="31" t="s">
        <v>105</v>
      </c>
      <c r="AA14" s="28" t="s">
        <v>107</v>
      </c>
    </row>
    <row r="15">
      <c r="A15" s="27" t="s">
        <v>94</v>
      </c>
      <c r="B15" s="29" t="s">
        <v>93</v>
      </c>
      <c r="C15" s="29" t="s">
        <v>93</v>
      </c>
      <c r="D15" s="29" t="s">
        <v>93</v>
      </c>
      <c r="E15" s="25" t="s">
        <v>89</v>
      </c>
      <c r="F15" s="28" t="s">
        <v>92</v>
      </c>
      <c r="G15" s="29" t="s">
        <v>93</v>
      </c>
      <c r="H15" s="29" t="s">
        <v>93</v>
      </c>
      <c r="I15" s="29" t="s">
        <v>93</v>
      </c>
      <c r="J15" s="29" t="s">
        <v>93</v>
      </c>
      <c r="K15" s="29" t="s">
        <v>93</v>
      </c>
      <c r="L15" s="29" t="s">
        <v>93</v>
      </c>
      <c r="M15" s="28" t="s">
        <v>92</v>
      </c>
      <c r="N15" s="27" t="s">
        <v>98</v>
      </c>
      <c r="O15" s="28" t="s">
        <v>96</v>
      </c>
      <c r="P15" s="31" t="s">
        <v>105</v>
      </c>
      <c r="Q15" s="28" t="s">
        <v>107</v>
      </c>
      <c r="R15" s="26" t="s">
        <v>114</v>
      </c>
      <c r="S15" s="31" t="s">
        <v>101</v>
      </c>
      <c r="T15" s="35" t="s">
        <v>113</v>
      </c>
      <c r="U15" s="33" t="s">
        <v>104</v>
      </c>
      <c r="V15" s="26" t="s">
        <v>95</v>
      </c>
      <c r="W15" s="31" t="s">
        <v>105</v>
      </c>
      <c r="X15" s="35" t="s">
        <v>111</v>
      </c>
      <c r="Y15" s="26" t="s">
        <v>90</v>
      </c>
      <c r="Z15" s="28" t="s">
        <v>107</v>
      </c>
      <c r="AA15" s="33" t="s">
        <v>104</v>
      </c>
    </row>
    <row r="16">
      <c r="A16" s="27" t="s">
        <v>94</v>
      </c>
      <c r="B16" s="29" t="s">
        <v>93</v>
      </c>
      <c r="C16" s="29" t="s">
        <v>93</v>
      </c>
      <c r="D16" s="29" t="s">
        <v>93</v>
      </c>
      <c r="E16" s="25" t="s">
        <v>89</v>
      </c>
      <c r="F16" s="28" t="s">
        <v>92</v>
      </c>
      <c r="G16" s="29" t="s">
        <v>93</v>
      </c>
      <c r="H16" s="29" t="s">
        <v>93</v>
      </c>
      <c r="I16" s="29" t="s">
        <v>93</v>
      </c>
      <c r="J16" s="29" t="s">
        <v>93</v>
      </c>
      <c r="K16" s="29" t="s">
        <v>93</v>
      </c>
      <c r="L16" s="29" t="s">
        <v>93</v>
      </c>
      <c r="M16" s="26" t="s">
        <v>90</v>
      </c>
      <c r="N16" s="27" t="s">
        <v>98</v>
      </c>
      <c r="O16" s="28" t="s">
        <v>96</v>
      </c>
      <c r="P16" s="31" t="s">
        <v>105</v>
      </c>
      <c r="Q16" s="33" t="s">
        <v>109</v>
      </c>
      <c r="R16" s="26" t="s">
        <v>114</v>
      </c>
      <c r="S16" s="31" t="s">
        <v>101</v>
      </c>
      <c r="T16" s="35" t="s">
        <v>113</v>
      </c>
      <c r="U16" s="33" t="s">
        <v>104</v>
      </c>
      <c r="V16" s="26" t="s">
        <v>95</v>
      </c>
      <c r="W16" s="31" t="s">
        <v>105</v>
      </c>
      <c r="X16" s="35" t="s">
        <v>111</v>
      </c>
      <c r="Y16" s="28" t="s">
        <v>107</v>
      </c>
      <c r="Z16" s="36" t="s">
        <v>115</v>
      </c>
      <c r="AA16" s="33" t="s">
        <v>104</v>
      </c>
    </row>
    <row r="17">
      <c r="A17" s="29" t="s">
        <v>93</v>
      </c>
      <c r="B17" s="29" t="s">
        <v>93</v>
      </c>
      <c r="C17" s="29" t="s">
        <v>93</v>
      </c>
      <c r="D17" s="29" t="s">
        <v>93</v>
      </c>
      <c r="E17" s="29" t="s">
        <v>93</v>
      </c>
      <c r="F17" s="29" t="s">
        <v>93</v>
      </c>
      <c r="G17" s="29" t="s">
        <v>93</v>
      </c>
      <c r="H17" s="29" t="s">
        <v>93</v>
      </c>
      <c r="I17" s="29" t="s">
        <v>93</v>
      </c>
      <c r="J17" s="29" t="s">
        <v>93</v>
      </c>
      <c r="K17" s="29" t="s">
        <v>93</v>
      </c>
      <c r="L17" s="29" t="s">
        <v>93</v>
      </c>
      <c r="M17" s="29" t="s">
        <v>93</v>
      </c>
      <c r="N17" s="28" t="s">
        <v>96</v>
      </c>
      <c r="O17" s="29" t="s">
        <v>93</v>
      </c>
      <c r="P17" s="28" t="s">
        <v>96</v>
      </c>
      <c r="Q17" s="35" t="s">
        <v>111</v>
      </c>
      <c r="R17" s="33" t="s">
        <v>109</v>
      </c>
      <c r="S17" s="33" t="s">
        <v>106</v>
      </c>
      <c r="T17" s="27" t="s">
        <v>100</v>
      </c>
      <c r="U17" s="35" t="s">
        <v>113</v>
      </c>
      <c r="V17" s="30" t="s">
        <v>99</v>
      </c>
      <c r="W17" s="36" t="s">
        <v>115</v>
      </c>
      <c r="X17" s="27" t="s">
        <v>100</v>
      </c>
      <c r="Y17" s="35" t="s">
        <v>112</v>
      </c>
      <c r="Z17" s="34" t="s">
        <v>102</v>
      </c>
      <c r="AA17" s="33" t="s">
        <v>104</v>
      </c>
    </row>
    <row r="18">
      <c r="A18" s="29" t="s">
        <v>93</v>
      </c>
      <c r="B18" s="29" t="s">
        <v>93</v>
      </c>
      <c r="C18" s="29" t="s">
        <v>93</v>
      </c>
      <c r="D18" s="29" t="s">
        <v>93</v>
      </c>
      <c r="E18" s="29" t="s">
        <v>93</v>
      </c>
      <c r="F18" s="29" t="s">
        <v>93</v>
      </c>
      <c r="G18" s="29" t="s">
        <v>93</v>
      </c>
      <c r="H18" s="29" t="s">
        <v>93</v>
      </c>
      <c r="I18" s="29" t="s">
        <v>93</v>
      </c>
      <c r="J18" s="29" t="s">
        <v>93</v>
      </c>
      <c r="K18" s="29" t="s">
        <v>93</v>
      </c>
      <c r="L18" s="29" t="s">
        <v>93</v>
      </c>
      <c r="M18" s="29" t="s">
        <v>93</v>
      </c>
      <c r="N18" s="28" t="s">
        <v>96</v>
      </c>
      <c r="O18" s="29" t="s">
        <v>93</v>
      </c>
      <c r="P18" s="28" t="s">
        <v>96</v>
      </c>
      <c r="Q18" s="35" t="s">
        <v>111</v>
      </c>
      <c r="R18" s="33" t="s">
        <v>109</v>
      </c>
      <c r="S18" s="33" t="s">
        <v>106</v>
      </c>
      <c r="T18" s="30" t="s">
        <v>116</v>
      </c>
      <c r="U18" s="35" t="s">
        <v>113</v>
      </c>
      <c r="V18" s="30" t="s">
        <v>99</v>
      </c>
      <c r="W18" s="36" t="s">
        <v>115</v>
      </c>
      <c r="X18" s="27" t="s">
        <v>100</v>
      </c>
      <c r="Y18" s="35" t="s">
        <v>112</v>
      </c>
      <c r="Z18" s="34" t="s">
        <v>102</v>
      </c>
      <c r="AA18" s="33" t="s">
        <v>104</v>
      </c>
    </row>
    <row r="19">
      <c r="A19" s="29" t="s">
        <v>93</v>
      </c>
      <c r="B19" s="29" t="s">
        <v>93</v>
      </c>
      <c r="C19" s="29" t="s">
        <v>93</v>
      </c>
      <c r="D19" s="29" t="s">
        <v>93</v>
      </c>
      <c r="E19" s="29" t="s">
        <v>93</v>
      </c>
      <c r="F19" s="29" t="s">
        <v>93</v>
      </c>
      <c r="G19" s="29" t="s">
        <v>93</v>
      </c>
      <c r="H19" s="29" t="s">
        <v>93</v>
      </c>
      <c r="I19" s="29" t="s">
        <v>93</v>
      </c>
      <c r="J19" s="35" t="s">
        <v>110</v>
      </c>
      <c r="K19" s="29" t="s">
        <v>93</v>
      </c>
      <c r="L19" s="29" t="s">
        <v>93</v>
      </c>
      <c r="M19" s="29" t="s">
        <v>93</v>
      </c>
      <c r="N19" s="29" t="s">
        <v>93</v>
      </c>
      <c r="O19" s="29" t="s">
        <v>93</v>
      </c>
      <c r="P19" s="33" t="s">
        <v>109</v>
      </c>
      <c r="Q19" s="30" t="s">
        <v>99</v>
      </c>
      <c r="R19" s="35" t="s">
        <v>111</v>
      </c>
      <c r="S19" s="35" t="s">
        <v>112</v>
      </c>
      <c r="T19" s="30" t="s">
        <v>116</v>
      </c>
      <c r="U19" s="27" t="s">
        <v>100</v>
      </c>
      <c r="V19" s="33" t="s">
        <v>104</v>
      </c>
      <c r="W19" s="30" t="s">
        <v>99</v>
      </c>
      <c r="X19" s="34" t="s">
        <v>102</v>
      </c>
      <c r="Y19" s="36" t="s">
        <v>115</v>
      </c>
      <c r="Z19" s="33" t="s">
        <v>106</v>
      </c>
      <c r="AA19" s="27" t="s">
        <v>100</v>
      </c>
    </row>
    <row r="20">
      <c r="A20" s="29" t="s">
        <v>93</v>
      </c>
      <c r="B20" s="29" t="s">
        <v>93</v>
      </c>
      <c r="C20" s="29" t="s">
        <v>93</v>
      </c>
      <c r="D20" s="29" t="s">
        <v>93</v>
      </c>
      <c r="E20" s="29" t="s">
        <v>93</v>
      </c>
      <c r="F20" s="29" t="s">
        <v>93</v>
      </c>
      <c r="G20" s="28" t="s">
        <v>96</v>
      </c>
      <c r="H20" s="29" t="s">
        <v>93</v>
      </c>
      <c r="I20" s="33" t="s">
        <v>117</v>
      </c>
      <c r="J20" s="29" t="s">
        <v>93</v>
      </c>
      <c r="K20" s="29" t="s">
        <v>93</v>
      </c>
      <c r="L20" s="29" t="s">
        <v>93</v>
      </c>
      <c r="M20" s="29" t="s">
        <v>93</v>
      </c>
      <c r="N20" s="29" t="s">
        <v>93</v>
      </c>
      <c r="O20" s="29" t="s">
        <v>93</v>
      </c>
      <c r="P20" s="35" t="s">
        <v>111</v>
      </c>
      <c r="Q20" s="33" t="s">
        <v>109</v>
      </c>
      <c r="R20" s="27" t="s">
        <v>100</v>
      </c>
      <c r="S20" s="35" t="s">
        <v>112</v>
      </c>
      <c r="T20" s="35" t="s">
        <v>113</v>
      </c>
      <c r="U20" s="30" t="s">
        <v>116</v>
      </c>
      <c r="V20" s="36" t="s">
        <v>115</v>
      </c>
      <c r="W20" s="33" t="s">
        <v>104</v>
      </c>
      <c r="X20" s="34" t="s">
        <v>102</v>
      </c>
      <c r="Y20" s="30" t="s">
        <v>99</v>
      </c>
      <c r="Z20" s="35" t="s">
        <v>112</v>
      </c>
      <c r="AA20" s="30" t="s">
        <v>116</v>
      </c>
    </row>
    <row r="21" ht="15.75" customHeight="1">
      <c r="A21" s="29" t="s">
        <v>93</v>
      </c>
      <c r="B21" s="29" t="s">
        <v>93</v>
      </c>
      <c r="C21" s="29" t="s">
        <v>93</v>
      </c>
      <c r="D21" s="29" t="s">
        <v>93</v>
      </c>
      <c r="E21" s="29" t="s">
        <v>93</v>
      </c>
      <c r="F21" s="29" t="s">
        <v>93</v>
      </c>
      <c r="G21" s="28" t="s">
        <v>96</v>
      </c>
      <c r="H21" s="29" t="s">
        <v>93</v>
      </c>
      <c r="I21" s="33" t="s">
        <v>117</v>
      </c>
      <c r="J21" s="29" t="s">
        <v>93</v>
      </c>
      <c r="K21" s="29" t="s">
        <v>93</v>
      </c>
      <c r="L21" s="29" t="s">
        <v>93</v>
      </c>
      <c r="M21" s="29" t="s">
        <v>93</v>
      </c>
      <c r="N21" s="29" t="s">
        <v>93</v>
      </c>
      <c r="O21" s="29" t="s">
        <v>93</v>
      </c>
      <c r="P21" s="35" t="s">
        <v>111</v>
      </c>
      <c r="Q21" s="33" t="s">
        <v>109</v>
      </c>
      <c r="R21" s="27" t="s">
        <v>100</v>
      </c>
      <c r="S21" s="30" t="s">
        <v>99</v>
      </c>
      <c r="T21" s="35" t="s">
        <v>113</v>
      </c>
      <c r="U21" s="30" t="s">
        <v>116</v>
      </c>
      <c r="V21" s="36" t="s">
        <v>115</v>
      </c>
      <c r="W21" s="33" t="s">
        <v>104</v>
      </c>
      <c r="X21" s="30" t="s">
        <v>99</v>
      </c>
      <c r="Y21" s="34" t="s">
        <v>102</v>
      </c>
      <c r="Z21" s="35" t="s">
        <v>112</v>
      </c>
      <c r="AA21" s="30" t="s">
        <v>116</v>
      </c>
    </row>
    <row r="22" ht="15.75" customHeight="1">
      <c r="A22" s="29" t="s">
        <v>93</v>
      </c>
      <c r="B22" s="29" t="s">
        <v>93</v>
      </c>
      <c r="C22" s="28" t="s">
        <v>92</v>
      </c>
      <c r="D22" s="31" t="s">
        <v>108</v>
      </c>
      <c r="E22" s="29" t="s">
        <v>93</v>
      </c>
      <c r="F22" s="26" t="s">
        <v>90</v>
      </c>
      <c r="G22" s="25" t="s">
        <v>89</v>
      </c>
      <c r="H22" s="29" t="s">
        <v>93</v>
      </c>
      <c r="I22" s="35" t="s">
        <v>110</v>
      </c>
      <c r="J22" s="29" t="s">
        <v>93</v>
      </c>
      <c r="K22" s="29" t="s">
        <v>93</v>
      </c>
      <c r="L22" s="26" t="s">
        <v>90</v>
      </c>
      <c r="M22" s="29" t="s">
        <v>93</v>
      </c>
      <c r="N22" s="28" t="s">
        <v>96</v>
      </c>
      <c r="O22" s="25" t="s">
        <v>89</v>
      </c>
      <c r="P22" s="33" t="s">
        <v>109</v>
      </c>
      <c r="Q22" s="35" t="s">
        <v>111</v>
      </c>
      <c r="R22" s="34" t="s">
        <v>102</v>
      </c>
      <c r="S22" s="30" t="s">
        <v>99</v>
      </c>
      <c r="T22" s="28" t="s">
        <v>107</v>
      </c>
      <c r="U22" s="27" t="s">
        <v>100</v>
      </c>
      <c r="V22" s="35" t="s">
        <v>111</v>
      </c>
      <c r="W22" s="26" t="s">
        <v>95</v>
      </c>
      <c r="X22" s="31" t="s">
        <v>105</v>
      </c>
      <c r="Y22" s="36" t="s">
        <v>115</v>
      </c>
      <c r="Z22" s="33" t="s">
        <v>106</v>
      </c>
      <c r="AA22" s="33" t="s">
        <v>104</v>
      </c>
    </row>
    <row r="23" ht="15.75" customHeight="1">
      <c r="A23" s="29" t="s">
        <v>93</v>
      </c>
      <c r="B23" s="29" t="s">
        <v>93</v>
      </c>
      <c r="C23" s="26" t="s">
        <v>90</v>
      </c>
      <c r="D23" s="31" t="s">
        <v>108</v>
      </c>
      <c r="E23" s="29" t="s">
        <v>93</v>
      </c>
      <c r="F23" s="28" t="s">
        <v>92</v>
      </c>
      <c r="G23" s="25" t="s">
        <v>89</v>
      </c>
      <c r="H23" s="28" t="s">
        <v>96</v>
      </c>
      <c r="I23" s="35" t="s">
        <v>110</v>
      </c>
      <c r="J23" s="27" t="s">
        <v>100</v>
      </c>
      <c r="K23" s="29" t="s">
        <v>93</v>
      </c>
      <c r="L23" s="26" t="s">
        <v>90</v>
      </c>
      <c r="M23" s="29" t="s">
        <v>93</v>
      </c>
      <c r="N23" s="26" t="s">
        <v>114</v>
      </c>
      <c r="O23" s="25" t="s">
        <v>89</v>
      </c>
      <c r="P23" s="33" t="s">
        <v>109</v>
      </c>
      <c r="Q23" s="35" t="s">
        <v>111</v>
      </c>
      <c r="R23" s="34" t="s">
        <v>102</v>
      </c>
      <c r="S23" s="30" t="s">
        <v>99</v>
      </c>
      <c r="T23" s="28" t="s">
        <v>107</v>
      </c>
      <c r="U23" s="33" t="s">
        <v>104</v>
      </c>
      <c r="V23" s="35" t="s">
        <v>111</v>
      </c>
      <c r="W23" s="26" t="s">
        <v>95</v>
      </c>
      <c r="X23" s="31" t="s">
        <v>105</v>
      </c>
      <c r="Y23" s="34" t="s">
        <v>102</v>
      </c>
      <c r="Z23" s="30" t="s">
        <v>99</v>
      </c>
      <c r="AA23" s="35" t="s">
        <v>113</v>
      </c>
    </row>
    <row r="24" ht="15.75" customHeight="1">
      <c r="A24" s="29" t="s">
        <v>93</v>
      </c>
      <c r="B24" s="29" t="s">
        <v>93</v>
      </c>
      <c r="C24" s="26" t="s">
        <v>90</v>
      </c>
      <c r="D24" s="26" t="s">
        <v>95</v>
      </c>
      <c r="E24" s="29" t="s">
        <v>93</v>
      </c>
      <c r="F24" s="29" t="s">
        <v>93</v>
      </c>
      <c r="G24" s="28" t="s">
        <v>96</v>
      </c>
      <c r="H24" s="29" t="s">
        <v>93</v>
      </c>
      <c r="I24" s="33" t="s">
        <v>117</v>
      </c>
      <c r="J24" s="29" t="s">
        <v>93</v>
      </c>
      <c r="K24" s="29" t="s">
        <v>93</v>
      </c>
      <c r="L24" s="28" t="s">
        <v>92</v>
      </c>
      <c r="M24" s="29" t="s">
        <v>93</v>
      </c>
      <c r="N24" s="26" t="s">
        <v>114</v>
      </c>
      <c r="O24" s="28" t="s">
        <v>96</v>
      </c>
      <c r="P24" s="30" t="s">
        <v>99</v>
      </c>
      <c r="Q24" s="32" t="s">
        <v>102</v>
      </c>
      <c r="R24" s="26" t="s">
        <v>114</v>
      </c>
      <c r="S24" s="28" t="s">
        <v>107</v>
      </c>
      <c r="T24" s="35" t="s">
        <v>113</v>
      </c>
      <c r="U24" s="33" t="s">
        <v>104</v>
      </c>
      <c r="V24" s="33" t="s">
        <v>104</v>
      </c>
      <c r="W24" s="31" t="s">
        <v>105</v>
      </c>
      <c r="X24" s="28" t="s">
        <v>107</v>
      </c>
      <c r="Y24" s="34" t="s">
        <v>102</v>
      </c>
      <c r="Z24" s="30" t="s">
        <v>99</v>
      </c>
      <c r="AA24" s="35" t="s">
        <v>113</v>
      </c>
    </row>
    <row r="25" ht="15.75" customHeight="1">
      <c r="A25" s="29" t="s">
        <v>93</v>
      </c>
      <c r="B25" s="29" t="s">
        <v>93</v>
      </c>
      <c r="C25" s="29" t="s">
        <v>93</v>
      </c>
      <c r="D25" s="29" t="s">
        <v>93</v>
      </c>
      <c r="E25" s="28" t="s">
        <v>92</v>
      </c>
      <c r="F25" s="27" t="s">
        <v>94</v>
      </c>
      <c r="G25" s="29" t="s">
        <v>93</v>
      </c>
      <c r="H25" s="29" t="s">
        <v>93</v>
      </c>
      <c r="I25" s="29" t="s">
        <v>93</v>
      </c>
      <c r="J25" s="29" t="s">
        <v>93</v>
      </c>
      <c r="K25" s="29" t="s">
        <v>93</v>
      </c>
      <c r="L25" s="29" t="s">
        <v>93</v>
      </c>
      <c r="M25" s="26" t="s">
        <v>90</v>
      </c>
      <c r="N25" s="29" t="s">
        <v>93</v>
      </c>
      <c r="O25" s="29" t="s">
        <v>93</v>
      </c>
      <c r="P25" s="26" t="s">
        <v>95</v>
      </c>
      <c r="Q25" s="33" t="s">
        <v>109</v>
      </c>
      <c r="R25" s="28" t="s">
        <v>107</v>
      </c>
      <c r="S25" s="26" t="s">
        <v>90</v>
      </c>
      <c r="T25" s="27" t="s">
        <v>100</v>
      </c>
      <c r="U25" s="35" t="s">
        <v>113</v>
      </c>
      <c r="V25" s="28" t="s">
        <v>96</v>
      </c>
      <c r="W25" s="35" t="s">
        <v>111</v>
      </c>
      <c r="X25" s="26" t="s">
        <v>95</v>
      </c>
      <c r="Y25" s="28" t="s">
        <v>107</v>
      </c>
      <c r="Z25" s="36" t="s">
        <v>115</v>
      </c>
      <c r="AA25" s="27" t="s">
        <v>100</v>
      </c>
    </row>
    <row r="26" ht="15.75" customHeight="1">
      <c r="A26" s="29" t="s">
        <v>93</v>
      </c>
      <c r="B26" s="29" t="s">
        <v>93</v>
      </c>
      <c r="C26" s="28" t="s">
        <v>92</v>
      </c>
      <c r="D26" s="29" t="s">
        <v>93</v>
      </c>
      <c r="E26" s="27" t="s">
        <v>94</v>
      </c>
      <c r="F26" s="25" t="s">
        <v>89</v>
      </c>
      <c r="G26" s="26" t="s">
        <v>114</v>
      </c>
      <c r="H26" s="27" t="s">
        <v>100</v>
      </c>
      <c r="I26" s="29" t="s">
        <v>93</v>
      </c>
      <c r="J26" s="29" t="s">
        <v>93</v>
      </c>
      <c r="K26" s="26" t="s">
        <v>90</v>
      </c>
      <c r="L26" s="29" t="s">
        <v>93</v>
      </c>
      <c r="M26" s="27" t="s">
        <v>98</v>
      </c>
      <c r="N26" s="29" t="s">
        <v>93</v>
      </c>
      <c r="O26" s="29" t="s">
        <v>93</v>
      </c>
      <c r="P26" s="26" t="s">
        <v>95</v>
      </c>
      <c r="Q26" s="31" t="s">
        <v>101</v>
      </c>
      <c r="R26" s="35" t="s">
        <v>111</v>
      </c>
      <c r="S26" s="26" t="s">
        <v>90</v>
      </c>
      <c r="T26" s="33" t="s">
        <v>104</v>
      </c>
      <c r="U26" s="28" t="s">
        <v>107</v>
      </c>
      <c r="V26" s="33" t="s">
        <v>104</v>
      </c>
      <c r="W26" s="35" t="s">
        <v>111</v>
      </c>
      <c r="X26" s="33" t="s">
        <v>109</v>
      </c>
      <c r="Y26" s="31" t="s">
        <v>101</v>
      </c>
      <c r="Z26" s="31" t="s">
        <v>105</v>
      </c>
      <c r="AA26" s="35" t="s">
        <v>113</v>
      </c>
    </row>
    <row r="27" ht="15.75" customHeight="1">
      <c r="A27" s="29" t="s">
        <v>93</v>
      </c>
      <c r="B27" s="29" t="s">
        <v>93</v>
      </c>
      <c r="C27" s="28" t="s">
        <v>92</v>
      </c>
      <c r="D27" s="29" t="s">
        <v>93</v>
      </c>
      <c r="E27" s="27" t="s">
        <v>94</v>
      </c>
      <c r="F27" s="25" t="s">
        <v>89</v>
      </c>
      <c r="G27" s="26" t="s">
        <v>114</v>
      </c>
      <c r="H27" s="26" t="s">
        <v>95</v>
      </c>
      <c r="I27" s="29" t="s">
        <v>93</v>
      </c>
      <c r="J27" s="29" t="s">
        <v>93</v>
      </c>
      <c r="K27" s="26" t="s">
        <v>90</v>
      </c>
      <c r="L27" s="29" t="s">
        <v>93</v>
      </c>
      <c r="M27" s="27" t="s">
        <v>98</v>
      </c>
      <c r="N27" s="29" t="s">
        <v>93</v>
      </c>
      <c r="O27" s="29" t="s">
        <v>93</v>
      </c>
      <c r="P27" s="33" t="s">
        <v>109</v>
      </c>
      <c r="Q27" s="31" t="s">
        <v>101</v>
      </c>
      <c r="R27" s="35" t="s">
        <v>111</v>
      </c>
      <c r="S27" s="27" t="s">
        <v>100</v>
      </c>
      <c r="T27" s="33" t="s">
        <v>104</v>
      </c>
      <c r="U27" s="28" t="s">
        <v>107</v>
      </c>
      <c r="V27" s="33" t="s">
        <v>104</v>
      </c>
      <c r="W27" s="26" t="s">
        <v>95</v>
      </c>
      <c r="X27" s="33" t="s">
        <v>109</v>
      </c>
      <c r="Y27" s="31" t="s">
        <v>101</v>
      </c>
      <c r="Z27" s="31" t="s">
        <v>105</v>
      </c>
      <c r="AA27" s="35" t="s">
        <v>113</v>
      </c>
    </row>
    <row r="28" ht="15.75" customHeight="1">
      <c r="A28" s="29" t="s">
        <v>93</v>
      </c>
      <c r="B28" s="29" t="s">
        <v>93</v>
      </c>
      <c r="C28" s="29" t="s">
        <v>93</v>
      </c>
      <c r="D28" s="29" t="s">
        <v>93</v>
      </c>
      <c r="E28" s="28" t="s">
        <v>92</v>
      </c>
      <c r="F28" s="29" t="s">
        <v>93</v>
      </c>
      <c r="G28" s="29" t="s">
        <v>93</v>
      </c>
      <c r="H28" s="29" t="s">
        <v>93</v>
      </c>
      <c r="I28" s="29" t="s">
        <v>93</v>
      </c>
      <c r="J28" s="26" t="s">
        <v>95</v>
      </c>
      <c r="K28" s="29" t="s">
        <v>93</v>
      </c>
      <c r="L28" s="25" t="s">
        <v>89</v>
      </c>
      <c r="M28" s="29" t="s">
        <v>93</v>
      </c>
      <c r="N28" s="29" t="s">
        <v>93</v>
      </c>
      <c r="O28" s="29" t="s">
        <v>93</v>
      </c>
      <c r="P28" s="31" t="s">
        <v>105</v>
      </c>
      <c r="Q28" s="28" t="s">
        <v>107</v>
      </c>
      <c r="R28" s="34" t="s">
        <v>102</v>
      </c>
      <c r="S28" s="31" t="s">
        <v>101</v>
      </c>
      <c r="T28" s="26" t="s">
        <v>90</v>
      </c>
      <c r="U28" s="35" t="s">
        <v>113</v>
      </c>
      <c r="V28" s="31" t="s">
        <v>105</v>
      </c>
      <c r="W28" s="28" t="s">
        <v>107</v>
      </c>
      <c r="X28" s="34" t="s">
        <v>102</v>
      </c>
      <c r="Y28" s="30" t="s">
        <v>99</v>
      </c>
      <c r="Z28" s="35" t="s">
        <v>112</v>
      </c>
      <c r="AA28" s="26" t="s">
        <v>90</v>
      </c>
    </row>
    <row r="29" ht="15.75" customHeight="1">
      <c r="A29" s="29" t="s">
        <v>93</v>
      </c>
      <c r="B29" s="29" t="s">
        <v>93</v>
      </c>
      <c r="C29" s="29" t="s">
        <v>93</v>
      </c>
      <c r="D29" s="29" t="s">
        <v>93</v>
      </c>
      <c r="E29" s="28" t="s">
        <v>92</v>
      </c>
      <c r="F29" s="29" t="s">
        <v>93</v>
      </c>
      <c r="G29" s="29" t="s">
        <v>93</v>
      </c>
      <c r="H29" s="29" t="s">
        <v>93</v>
      </c>
      <c r="I29" s="29" t="s">
        <v>93</v>
      </c>
      <c r="J29" s="26" t="s">
        <v>95</v>
      </c>
      <c r="K29" s="29" t="s">
        <v>93</v>
      </c>
      <c r="L29" s="25" t="s">
        <v>89</v>
      </c>
      <c r="M29" s="29" t="s">
        <v>93</v>
      </c>
      <c r="N29" s="29" t="s">
        <v>93</v>
      </c>
      <c r="O29" s="29" t="s">
        <v>93</v>
      </c>
      <c r="P29" s="32" t="s">
        <v>102</v>
      </c>
      <c r="Q29" s="28" t="s">
        <v>107</v>
      </c>
      <c r="R29" s="35" t="s">
        <v>111</v>
      </c>
      <c r="S29" s="31" t="s">
        <v>101</v>
      </c>
      <c r="T29" s="26" t="s">
        <v>90</v>
      </c>
      <c r="U29" s="31" t="s">
        <v>105</v>
      </c>
      <c r="V29" s="35" t="s">
        <v>111</v>
      </c>
      <c r="W29" s="34" t="s">
        <v>102</v>
      </c>
      <c r="X29" s="28" t="s">
        <v>107</v>
      </c>
      <c r="Y29" s="30" t="s">
        <v>99</v>
      </c>
      <c r="Z29" s="35" t="s">
        <v>112</v>
      </c>
      <c r="AA29" s="26" t="s">
        <v>90</v>
      </c>
    </row>
    <row r="30" ht="15.75" customHeight="1">
      <c r="A30" s="29" t="s">
        <v>93</v>
      </c>
      <c r="B30" s="29" t="s">
        <v>93</v>
      </c>
      <c r="C30" s="29" t="s">
        <v>93</v>
      </c>
      <c r="D30" s="29" t="s">
        <v>93</v>
      </c>
      <c r="E30" s="29" t="s">
        <v>93</v>
      </c>
      <c r="F30" s="29" t="s">
        <v>93</v>
      </c>
      <c r="G30" s="29" t="s">
        <v>93</v>
      </c>
      <c r="H30" s="29" t="s">
        <v>93</v>
      </c>
      <c r="I30" s="29" t="s">
        <v>93</v>
      </c>
      <c r="J30" s="37" t="s">
        <v>93</v>
      </c>
      <c r="K30" s="29" t="s">
        <v>93</v>
      </c>
      <c r="L30" s="29" t="s">
        <v>93</v>
      </c>
      <c r="M30" s="29" t="s">
        <v>93</v>
      </c>
      <c r="N30" s="29" t="s">
        <v>93</v>
      </c>
      <c r="O30" s="29" t="s">
        <v>93</v>
      </c>
      <c r="P30" s="32" t="s">
        <v>102</v>
      </c>
      <c r="Q30" s="26" t="s">
        <v>95</v>
      </c>
      <c r="R30" s="31" t="s">
        <v>101</v>
      </c>
      <c r="S30" s="28" t="s">
        <v>107</v>
      </c>
      <c r="T30" s="35" t="s">
        <v>113</v>
      </c>
      <c r="U30" s="31" t="s">
        <v>105</v>
      </c>
      <c r="V30" s="35" t="s">
        <v>111</v>
      </c>
      <c r="W30" s="34" t="s">
        <v>102</v>
      </c>
      <c r="X30" s="28" t="s">
        <v>107</v>
      </c>
      <c r="Y30" s="26" t="s">
        <v>90</v>
      </c>
      <c r="Z30" s="30" t="s">
        <v>99</v>
      </c>
      <c r="AA30" s="35" t="s">
        <v>113</v>
      </c>
    </row>
    <row r="31" ht="15.75" customHeight="1">
      <c r="A31" s="29"/>
      <c r="B31" s="38"/>
      <c r="C31" s="38"/>
      <c r="D31" s="23" t="s">
        <v>77</v>
      </c>
      <c r="E31" s="38"/>
      <c r="F31" s="38"/>
      <c r="G31" s="38"/>
      <c r="H31" s="23" t="s">
        <v>81</v>
      </c>
      <c r="I31" s="23" t="s">
        <v>82</v>
      </c>
      <c r="J31" s="23" t="s">
        <v>83</v>
      </c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ht="15.75" customHeight="1">
      <c r="A32" s="38"/>
      <c r="B32" s="38"/>
      <c r="C32" s="38"/>
      <c r="D32" s="29" t="s">
        <v>93</v>
      </c>
      <c r="E32" s="38"/>
      <c r="F32" s="38"/>
      <c r="G32" s="38"/>
      <c r="H32" s="25" t="s">
        <v>97</v>
      </c>
      <c r="I32" s="29" t="s">
        <v>93</v>
      </c>
      <c r="J32" s="33" t="s">
        <v>117</v>
      </c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ht="15.75" customHeight="1">
      <c r="A33" s="38"/>
      <c r="B33" s="38"/>
      <c r="C33" s="38"/>
      <c r="D33" s="29" t="s">
        <v>93</v>
      </c>
      <c r="E33" s="38"/>
      <c r="F33" s="38"/>
      <c r="G33" s="38"/>
      <c r="H33" s="25" t="s">
        <v>97</v>
      </c>
      <c r="I33" s="29" t="s">
        <v>93</v>
      </c>
      <c r="J33" s="33" t="s">
        <v>117</v>
      </c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ht="15.75" customHeight="1">
      <c r="A34" s="38"/>
      <c r="B34" s="38"/>
      <c r="C34" s="38"/>
      <c r="D34" s="29" t="s">
        <v>93</v>
      </c>
      <c r="E34" s="38"/>
      <c r="F34" s="38"/>
      <c r="G34" s="38"/>
      <c r="H34" s="29" t="s">
        <v>93</v>
      </c>
      <c r="I34" s="29" t="s">
        <v>93</v>
      </c>
      <c r="J34" s="29" t="s">
        <v>93</v>
      </c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ht="15.75" customHeight="1">
      <c r="A35" s="38"/>
      <c r="B35" s="38"/>
      <c r="C35" s="38"/>
      <c r="D35" s="25" t="s">
        <v>97</v>
      </c>
      <c r="E35" s="38"/>
      <c r="F35" s="38"/>
      <c r="G35" s="38"/>
      <c r="H35" s="29" t="s">
        <v>93</v>
      </c>
      <c r="I35" s="29" t="s">
        <v>93</v>
      </c>
      <c r="J35" s="29" t="s">
        <v>93</v>
      </c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ht="15.75" customHeight="1">
      <c r="A36" s="38"/>
      <c r="B36" s="38"/>
      <c r="C36" s="38"/>
      <c r="D36" s="25" t="s">
        <v>97</v>
      </c>
      <c r="E36" s="38"/>
      <c r="F36" s="38"/>
      <c r="G36" s="38"/>
      <c r="H36" s="29" t="s">
        <v>93</v>
      </c>
      <c r="I36" s="29" t="s">
        <v>93</v>
      </c>
      <c r="J36" s="29" t="s">
        <v>93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ht="15.75" customHeight="1">
      <c r="A37" s="38"/>
      <c r="B37" s="38"/>
      <c r="C37" s="38"/>
      <c r="D37" s="23" t="s">
        <v>77</v>
      </c>
      <c r="E37" s="38"/>
      <c r="F37" s="38"/>
      <c r="G37" s="38"/>
      <c r="H37" s="23" t="s">
        <v>81</v>
      </c>
      <c r="I37" s="23" t="s">
        <v>82</v>
      </c>
      <c r="J37" s="23" t="s">
        <v>83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ht="15.75" customHeight="1">
      <c r="A38" s="38"/>
      <c r="B38" s="38"/>
      <c r="C38" s="38"/>
      <c r="D38" s="28" t="s">
        <v>92</v>
      </c>
      <c r="E38" s="38"/>
      <c r="F38" s="38"/>
      <c r="G38" s="38"/>
      <c r="H38" s="33" t="s">
        <v>118</v>
      </c>
      <c r="I38" s="35" t="s">
        <v>110</v>
      </c>
      <c r="J38" s="29" t="s">
        <v>93</v>
      </c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ht="15.75" customHeight="1">
      <c r="A39" s="38"/>
      <c r="B39" s="38"/>
      <c r="C39" s="38"/>
      <c r="D39" s="27" t="s">
        <v>115</v>
      </c>
      <c r="E39" s="38"/>
      <c r="F39" s="38"/>
      <c r="G39" s="38"/>
      <c r="H39" s="33" t="s">
        <v>118</v>
      </c>
      <c r="I39" s="29" t="s">
        <v>93</v>
      </c>
      <c r="J39" s="33" t="s">
        <v>117</v>
      </c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ht="15.75" customHeight="1">
      <c r="A40" s="38"/>
      <c r="B40" s="38"/>
      <c r="C40" s="38"/>
      <c r="D40" s="27" t="s">
        <v>115</v>
      </c>
      <c r="E40" s="38"/>
      <c r="F40" s="38"/>
      <c r="G40" s="38"/>
      <c r="H40" s="29" t="s">
        <v>93</v>
      </c>
      <c r="I40" s="29" t="s">
        <v>93</v>
      </c>
      <c r="J40" s="29" t="s">
        <v>93</v>
      </c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ht="15.75" customHeight="1">
      <c r="A41" s="38"/>
      <c r="B41" s="38"/>
      <c r="C41" s="38"/>
      <c r="D41" s="26" t="s">
        <v>95</v>
      </c>
      <c r="E41" s="38"/>
      <c r="F41" s="38"/>
      <c r="G41" s="38"/>
      <c r="H41" s="29" t="s">
        <v>93</v>
      </c>
      <c r="I41" s="29" t="s">
        <v>93</v>
      </c>
      <c r="J41" s="29" t="s">
        <v>93</v>
      </c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ht="15.75" customHeight="1">
      <c r="A42" s="38"/>
      <c r="B42" s="38"/>
      <c r="C42" s="38"/>
      <c r="D42" s="26" t="s">
        <v>95</v>
      </c>
      <c r="E42" s="38"/>
      <c r="F42" s="38"/>
      <c r="G42" s="38"/>
      <c r="H42" s="29" t="s">
        <v>93</v>
      </c>
      <c r="I42" s="29" t="s">
        <v>93</v>
      </c>
      <c r="J42" s="29" t="s">
        <v>93</v>
      </c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ht="15.75" customHeight="1">
      <c r="A43" s="38"/>
      <c r="B43" s="38"/>
      <c r="C43" s="38"/>
      <c r="D43" s="23" t="s">
        <v>77</v>
      </c>
      <c r="E43" s="38"/>
      <c r="F43" s="38"/>
      <c r="G43" s="38"/>
      <c r="H43" s="23" t="s">
        <v>81</v>
      </c>
      <c r="I43" s="23" t="s">
        <v>82</v>
      </c>
      <c r="J43" s="23" t="s">
        <v>83</v>
      </c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ht="15.75" customHeight="1">
      <c r="A44" s="38"/>
      <c r="B44" s="38"/>
      <c r="C44" s="38"/>
      <c r="D44" s="26" t="s">
        <v>114</v>
      </c>
      <c r="E44" s="38"/>
      <c r="F44" s="38"/>
      <c r="G44" s="38"/>
      <c r="H44" s="35" t="s">
        <v>110</v>
      </c>
      <c r="I44" s="29" t="s">
        <v>93</v>
      </c>
      <c r="J44" s="27" t="s">
        <v>100</v>
      </c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ht="15.75" customHeight="1">
      <c r="A45" s="38"/>
      <c r="B45" s="38"/>
      <c r="C45" s="38"/>
      <c r="D45" s="28" t="s">
        <v>92</v>
      </c>
      <c r="E45" s="38"/>
      <c r="F45" s="38"/>
      <c r="G45" s="38"/>
      <c r="H45" s="35" t="s">
        <v>110</v>
      </c>
      <c r="I45" s="29" t="s">
        <v>93</v>
      </c>
      <c r="J45" s="26" t="s">
        <v>114</v>
      </c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ht="15.75" customHeight="1">
      <c r="A46" s="38"/>
      <c r="B46" s="38"/>
      <c r="C46" s="38"/>
      <c r="D46" s="28" t="s">
        <v>92</v>
      </c>
      <c r="E46" s="38"/>
      <c r="F46" s="38"/>
      <c r="G46" s="38"/>
      <c r="H46" s="33" t="s">
        <v>118</v>
      </c>
      <c r="I46" s="29" t="s">
        <v>93</v>
      </c>
      <c r="J46" s="26" t="s">
        <v>114</v>
      </c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ht="15.75" customHeight="1">
      <c r="A47" s="38"/>
      <c r="B47" s="38"/>
      <c r="C47" s="38"/>
      <c r="D47" s="27" t="s">
        <v>115</v>
      </c>
      <c r="E47" s="38"/>
      <c r="F47" s="38"/>
      <c r="G47" s="38"/>
      <c r="H47" s="29" t="s">
        <v>93</v>
      </c>
      <c r="I47" s="27" t="s">
        <v>100</v>
      </c>
      <c r="J47" s="28" t="s">
        <v>96</v>
      </c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ht="15.75" customHeight="1">
      <c r="A48" s="38"/>
      <c r="B48" s="38"/>
      <c r="C48" s="38"/>
      <c r="D48" s="27" t="s">
        <v>115</v>
      </c>
      <c r="E48" s="38"/>
      <c r="F48" s="38"/>
      <c r="G48" s="38"/>
      <c r="H48" s="29" t="s">
        <v>93</v>
      </c>
      <c r="I48" s="27" t="s">
        <v>100</v>
      </c>
      <c r="J48" s="28" t="s">
        <v>96</v>
      </c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ht="15.75" customHeight="1">
      <c r="A49" s="38"/>
      <c r="B49" s="38"/>
      <c r="C49" s="38"/>
      <c r="D49" s="23" t="s">
        <v>77</v>
      </c>
      <c r="E49" s="38"/>
      <c r="F49" s="38"/>
      <c r="G49" s="38"/>
      <c r="H49" s="23" t="s">
        <v>81</v>
      </c>
      <c r="I49" s="23" t="s">
        <v>82</v>
      </c>
      <c r="J49" s="23" t="s">
        <v>83</v>
      </c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ht="15.75" customHeight="1">
      <c r="A50" s="38"/>
      <c r="B50" s="38"/>
      <c r="C50" s="38"/>
      <c r="D50" s="29" t="s">
        <v>93</v>
      </c>
      <c r="E50" s="38"/>
      <c r="F50" s="38"/>
      <c r="G50" s="38"/>
      <c r="H50" s="26" t="s">
        <v>114</v>
      </c>
      <c r="I50" s="27" t="s">
        <v>100</v>
      </c>
      <c r="J50" s="28" t="s">
        <v>96</v>
      </c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ht="15.75" customHeight="1">
      <c r="A51" s="38"/>
      <c r="B51" s="38"/>
      <c r="C51" s="38"/>
      <c r="D51" s="29" t="s">
        <v>93</v>
      </c>
      <c r="E51" s="38"/>
      <c r="F51" s="38"/>
      <c r="G51" s="38"/>
      <c r="H51" s="26" t="s">
        <v>114</v>
      </c>
      <c r="I51" s="27" t="s">
        <v>100</v>
      </c>
      <c r="J51" s="28" t="s">
        <v>96</v>
      </c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ht="15.75" customHeight="1">
      <c r="A52" s="38"/>
      <c r="B52" s="38"/>
      <c r="C52" s="38"/>
      <c r="D52" s="29" t="s">
        <v>93</v>
      </c>
      <c r="E52" s="38"/>
      <c r="F52" s="38"/>
      <c r="G52" s="38"/>
      <c r="H52" s="27" t="s">
        <v>100</v>
      </c>
      <c r="I52" s="31" t="s">
        <v>108</v>
      </c>
      <c r="J52" s="26" t="s">
        <v>114</v>
      </c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ht="15.75" customHeight="1">
      <c r="A53" s="38"/>
      <c r="B53" s="38"/>
      <c r="C53" s="38"/>
      <c r="D53" s="29" t="s">
        <v>93</v>
      </c>
      <c r="E53" s="38"/>
      <c r="F53" s="38"/>
      <c r="G53" s="38"/>
      <c r="H53" s="28" t="s">
        <v>96</v>
      </c>
      <c r="I53" s="31" t="s">
        <v>108</v>
      </c>
      <c r="J53" s="27" t="s">
        <v>100</v>
      </c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ht="15.75" customHeight="1">
      <c r="A54" s="38"/>
      <c r="B54" s="38"/>
      <c r="C54" s="38"/>
      <c r="D54" s="29" t="s">
        <v>93</v>
      </c>
      <c r="E54" s="38"/>
      <c r="F54" s="38"/>
      <c r="G54" s="38"/>
      <c r="H54" s="28" t="s">
        <v>96</v>
      </c>
      <c r="I54" s="26" t="s">
        <v>114</v>
      </c>
      <c r="J54" s="27" t="s">
        <v>100</v>
      </c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ht="15.75" customHeight="1">
      <c r="A55" s="38"/>
      <c r="B55" s="38"/>
      <c r="C55" s="38"/>
      <c r="D55" s="23" t="s">
        <v>77</v>
      </c>
      <c r="E55" s="38"/>
      <c r="F55" s="38"/>
      <c r="G55" s="38"/>
      <c r="H55" s="23" t="s">
        <v>81</v>
      </c>
      <c r="I55" s="23" t="s">
        <v>82</v>
      </c>
      <c r="J55" s="23" t="s">
        <v>83</v>
      </c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ht="15.75" customHeight="1">
      <c r="A56" s="38"/>
      <c r="B56" s="38"/>
      <c r="C56" s="38"/>
      <c r="D56" s="29" t="s">
        <v>93</v>
      </c>
      <c r="E56" s="38"/>
      <c r="F56" s="38"/>
      <c r="G56" s="38"/>
      <c r="H56" s="29" t="s">
        <v>93</v>
      </c>
      <c r="I56" s="29" t="s">
        <v>93</v>
      </c>
      <c r="J56" s="35" t="s">
        <v>110</v>
      </c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ht="15.75" customHeight="1">
      <c r="A57" s="38"/>
      <c r="B57" s="38"/>
      <c r="C57" s="38"/>
      <c r="D57" s="29" t="s">
        <v>93</v>
      </c>
      <c r="E57" s="38"/>
      <c r="F57" s="38"/>
      <c r="G57" s="38"/>
      <c r="H57" s="29" t="s">
        <v>93</v>
      </c>
      <c r="I57" s="29" t="s">
        <v>93</v>
      </c>
      <c r="J57" s="35" t="s">
        <v>110</v>
      </c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ht="15.75" customHeight="1">
      <c r="A58" s="38"/>
      <c r="B58" s="38"/>
      <c r="C58" s="38"/>
      <c r="D58" s="29" t="s">
        <v>93</v>
      </c>
      <c r="E58" s="38"/>
      <c r="F58" s="38"/>
      <c r="G58" s="38"/>
      <c r="H58" s="26" t="s">
        <v>114</v>
      </c>
      <c r="I58" s="29" t="s">
        <v>93</v>
      </c>
      <c r="J58" s="29" t="s">
        <v>93</v>
      </c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ht="15.75" customHeight="1">
      <c r="A59" s="38"/>
      <c r="B59" s="38"/>
      <c r="C59" s="38"/>
      <c r="D59" s="29" t="s">
        <v>93</v>
      </c>
      <c r="E59" s="38"/>
      <c r="F59" s="38"/>
      <c r="G59" s="38"/>
      <c r="H59" s="31" t="s">
        <v>108</v>
      </c>
      <c r="I59" s="26" t="s">
        <v>114</v>
      </c>
      <c r="J59" s="29" t="s">
        <v>93</v>
      </c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ht="15.75" customHeight="1">
      <c r="A60" s="38"/>
      <c r="B60" s="38"/>
      <c r="C60" s="38"/>
      <c r="D60" s="29" t="s">
        <v>93</v>
      </c>
      <c r="E60" s="38"/>
      <c r="F60" s="38"/>
      <c r="G60" s="38"/>
      <c r="H60" s="31" t="s">
        <v>108</v>
      </c>
      <c r="I60" s="26" t="s">
        <v>114</v>
      </c>
      <c r="J60" s="29" t="s">
        <v>93</v>
      </c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</sheetData>
  <autoFilter ref="$A$1:$AA$1">
    <sortState ref="A1:AA1">
      <sortCondition ref="B1"/>
    </sortState>
  </autoFilter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3.14"/>
    <col customWidth="1" min="2" max="28" width="3.0"/>
    <col customWidth="1" min="29" max="101" width="21.14"/>
  </cols>
  <sheetData>
    <row r="1" ht="45.75" customHeight="1">
      <c r="A1" s="39" t="s">
        <v>119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</row>
    <row r="2">
      <c r="A2" s="42" t="s">
        <v>120</v>
      </c>
      <c r="B2" s="43">
        <f t="array" ref="B2:CW2">TRANSPOSE(IF('1_Cadastramento'!C3:C104="","",'1_Cadastramento'!C3:C104))</f>
        <v>11</v>
      </c>
      <c r="C2" s="44">
        <v>12.0</v>
      </c>
      <c r="D2" s="44">
        <v>13.0</v>
      </c>
      <c r="E2" s="44">
        <v>21.0</v>
      </c>
      <c r="F2" s="44">
        <v>22.0</v>
      </c>
      <c r="G2" s="44">
        <v>23.0</v>
      </c>
      <c r="H2" s="44">
        <v>31.0</v>
      </c>
      <c r="I2" s="44">
        <v>32.0</v>
      </c>
      <c r="J2" s="44">
        <v>33.0</v>
      </c>
      <c r="K2" s="44">
        <v>41.0</v>
      </c>
      <c r="L2" s="45">
        <v>42.0</v>
      </c>
      <c r="M2" s="45">
        <v>43.0</v>
      </c>
      <c r="N2" s="45">
        <v>51.0</v>
      </c>
      <c r="O2" s="45">
        <v>52.0</v>
      </c>
      <c r="P2" s="45">
        <v>53.0</v>
      </c>
      <c r="Q2" s="45">
        <v>61.0</v>
      </c>
      <c r="R2" s="45">
        <v>62.0</v>
      </c>
      <c r="S2" s="45">
        <v>63.0</v>
      </c>
      <c r="T2" s="45">
        <v>71.0</v>
      </c>
      <c r="U2" s="45">
        <v>72.0</v>
      </c>
      <c r="V2" s="45">
        <v>73.0</v>
      </c>
      <c r="W2" s="45">
        <v>81.0</v>
      </c>
      <c r="X2" s="45">
        <v>82.0</v>
      </c>
      <c r="Y2" s="45">
        <v>83.0</v>
      </c>
      <c r="Z2" s="45">
        <v>91.0</v>
      </c>
      <c r="AA2" s="45">
        <v>92.0</v>
      </c>
      <c r="AB2" s="45">
        <v>93.0</v>
      </c>
      <c r="AC2" s="45" t="s">
        <v>121</v>
      </c>
      <c r="AD2" s="45" t="s">
        <v>121</v>
      </c>
      <c r="AE2" s="45" t="s">
        <v>121</v>
      </c>
      <c r="AF2" s="45" t="s">
        <v>121</v>
      </c>
      <c r="AG2" s="45" t="s">
        <v>121</v>
      </c>
      <c r="AH2" s="45" t="s">
        <v>121</v>
      </c>
      <c r="AI2" s="45" t="s">
        <v>121</v>
      </c>
      <c r="AJ2" s="45" t="s">
        <v>121</v>
      </c>
      <c r="AK2" s="45" t="s">
        <v>121</v>
      </c>
      <c r="AL2" s="45" t="s">
        <v>121</v>
      </c>
      <c r="AM2" s="45" t="s">
        <v>121</v>
      </c>
      <c r="AN2" s="45" t="s">
        <v>121</v>
      </c>
      <c r="AO2" s="45" t="s">
        <v>121</v>
      </c>
      <c r="AP2" s="45" t="s">
        <v>121</v>
      </c>
      <c r="AQ2" s="45" t="s">
        <v>121</v>
      </c>
      <c r="AR2" s="45" t="s">
        <v>121</v>
      </c>
      <c r="AS2" s="45" t="s">
        <v>121</v>
      </c>
      <c r="AT2" s="45" t="s">
        <v>121</v>
      </c>
      <c r="AU2" s="45" t="s">
        <v>121</v>
      </c>
      <c r="AV2" s="45" t="s">
        <v>121</v>
      </c>
      <c r="AW2" s="45" t="s">
        <v>121</v>
      </c>
      <c r="AX2" s="45" t="s">
        <v>121</v>
      </c>
      <c r="AY2" s="45" t="s">
        <v>121</v>
      </c>
      <c r="AZ2" s="45" t="s">
        <v>121</v>
      </c>
      <c r="BA2" s="45" t="s">
        <v>121</v>
      </c>
      <c r="BB2" s="45" t="s">
        <v>121</v>
      </c>
      <c r="BC2" s="45" t="s">
        <v>121</v>
      </c>
      <c r="BD2" s="45" t="s">
        <v>121</v>
      </c>
      <c r="BE2" s="45" t="s">
        <v>121</v>
      </c>
      <c r="BF2" s="45" t="s">
        <v>121</v>
      </c>
      <c r="BG2" s="45" t="s">
        <v>121</v>
      </c>
      <c r="BH2" s="45" t="s">
        <v>121</v>
      </c>
      <c r="BI2" s="45" t="s">
        <v>121</v>
      </c>
      <c r="BJ2" s="45" t="s">
        <v>121</v>
      </c>
      <c r="BK2" s="45" t="s">
        <v>121</v>
      </c>
      <c r="BL2" s="45" t="s">
        <v>121</v>
      </c>
      <c r="BM2" s="45" t="s">
        <v>121</v>
      </c>
      <c r="BN2" s="45" t="s">
        <v>121</v>
      </c>
      <c r="BO2" s="45" t="s">
        <v>121</v>
      </c>
      <c r="BP2" s="45" t="s">
        <v>121</v>
      </c>
      <c r="BQ2" s="45" t="s">
        <v>121</v>
      </c>
      <c r="BR2" s="45" t="s">
        <v>121</v>
      </c>
      <c r="BS2" s="45" t="s">
        <v>121</v>
      </c>
      <c r="BT2" s="45" t="s">
        <v>121</v>
      </c>
      <c r="BU2" s="45" t="s">
        <v>121</v>
      </c>
      <c r="BV2" s="45" t="s">
        <v>121</v>
      </c>
      <c r="BW2" s="45" t="s">
        <v>121</v>
      </c>
      <c r="BX2" s="45" t="s">
        <v>121</v>
      </c>
      <c r="BY2" s="45" t="s">
        <v>121</v>
      </c>
      <c r="BZ2" s="45" t="s">
        <v>121</v>
      </c>
      <c r="CA2" s="45" t="s">
        <v>121</v>
      </c>
      <c r="CB2" s="45" t="s">
        <v>121</v>
      </c>
      <c r="CC2" s="45" t="s">
        <v>121</v>
      </c>
      <c r="CD2" s="45" t="s">
        <v>121</v>
      </c>
      <c r="CE2" s="45" t="s">
        <v>121</v>
      </c>
      <c r="CF2" s="45" t="s">
        <v>121</v>
      </c>
      <c r="CG2" s="45" t="s">
        <v>121</v>
      </c>
      <c r="CH2" s="45" t="s">
        <v>121</v>
      </c>
      <c r="CI2" s="45" t="s">
        <v>121</v>
      </c>
      <c r="CJ2" s="45" t="s">
        <v>121</v>
      </c>
      <c r="CK2" s="45" t="s">
        <v>121</v>
      </c>
      <c r="CL2" s="45" t="s">
        <v>121</v>
      </c>
      <c r="CM2" s="45" t="s">
        <v>121</v>
      </c>
      <c r="CN2" s="45" t="s">
        <v>121</v>
      </c>
      <c r="CO2" s="45" t="s">
        <v>121</v>
      </c>
      <c r="CP2" s="45" t="s">
        <v>121</v>
      </c>
      <c r="CQ2" s="45" t="s">
        <v>121</v>
      </c>
      <c r="CR2" s="45" t="s">
        <v>121</v>
      </c>
      <c r="CS2" s="45" t="s">
        <v>121</v>
      </c>
      <c r="CT2" s="45" t="s">
        <v>121</v>
      </c>
      <c r="CU2" s="45" t="s">
        <v>121</v>
      </c>
      <c r="CV2" s="45" t="s">
        <v>121</v>
      </c>
      <c r="CW2" s="45" t="s">
        <v>121</v>
      </c>
    </row>
    <row r="3">
      <c r="A3" s="46" t="str">
        <f t="array" ref="A3:A102">IF('1_Cadastramento'!F3:F104="","",'1_Cadastramento'!F3:F104)</f>
        <v>Arte</v>
      </c>
      <c r="B3" s="16">
        <v>2.0</v>
      </c>
      <c r="C3" s="13">
        <v>2.0</v>
      </c>
      <c r="D3" s="13">
        <v>2.0</v>
      </c>
      <c r="E3" s="13">
        <v>2.0</v>
      </c>
      <c r="F3" s="13">
        <v>2.0</v>
      </c>
      <c r="G3" s="13">
        <v>3.0</v>
      </c>
      <c r="H3" s="13">
        <v>2.0</v>
      </c>
      <c r="I3" s="13">
        <v>2.0</v>
      </c>
      <c r="J3" s="13">
        <v>2.0</v>
      </c>
      <c r="K3" s="13">
        <v>2.0</v>
      </c>
      <c r="L3" s="13">
        <v>2.0</v>
      </c>
      <c r="M3" s="13">
        <v>2.0</v>
      </c>
      <c r="N3" s="13">
        <v>3.0</v>
      </c>
      <c r="O3" s="13">
        <v>3.0</v>
      </c>
      <c r="P3" s="13">
        <v>3.0</v>
      </c>
      <c r="Q3" s="13">
        <v>3.0</v>
      </c>
      <c r="R3" s="13">
        <v>3.0</v>
      </c>
      <c r="S3" s="13">
        <v>3.0</v>
      </c>
      <c r="T3" s="13">
        <v>3.0</v>
      </c>
      <c r="U3" s="13">
        <v>3.0</v>
      </c>
      <c r="V3" s="13">
        <v>3.0</v>
      </c>
      <c r="W3" s="13">
        <v>2.0</v>
      </c>
      <c r="X3" s="13">
        <v>2.0</v>
      </c>
      <c r="Y3" s="13">
        <v>2.0</v>
      </c>
      <c r="Z3" s="13">
        <v>2.0</v>
      </c>
      <c r="AA3" s="13">
        <v>2.0</v>
      </c>
      <c r="AB3" s="13">
        <v>2.0</v>
      </c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</row>
    <row r="4">
      <c r="A4" s="46" t="s">
        <v>13</v>
      </c>
      <c r="B4" s="16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>
        <v>3.0</v>
      </c>
      <c r="R4" s="13">
        <v>3.0</v>
      </c>
      <c r="S4" s="13">
        <v>3.0</v>
      </c>
      <c r="T4" s="13">
        <v>3.0</v>
      </c>
      <c r="U4" s="13">
        <v>3.0</v>
      </c>
      <c r="V4" s="13">
        <v>3.0</v>
      </c>
      <c r="W4" s="13">
        <v>4.0</v>
      </c>
      <c r="X4" s="13">
        <v>4.0</v>
      </c>
      <c r="Y4" s="13">
        <v>4.0</v>
      </c>
      <c r="Z4" s="13">
        <v>3.0</v>
      </c>
      <c r="AA4" s="13">
        <v>3.0</v>
      </c>
      <c r="AB4" s="13">
        <v>3.0</v>
      </c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</row>
    <row r="5">
      <c r="A5" s="46" t="s">
        <v>18</v>
      </c>
      <c r="B5" s="16">
        <v>3.0</v>
      </c>
      <c r="C5" s="13">
        <v>3.0</v>
      </c>
      <c r="D5" s="13">
        <v>3.0</v>
      </c>
      <c r="E5" s="13">
        <v>3.0</v>
      </c>
      <c r="F5" s="13">
        <v>3.0</v>
      </c>
      <c r="G5" s="13">
        <v>4.0</v>
      </c>
      <c r="H5" s="13">
        <v>3.0</v>
      </c>
      <c r="I5" s="13">
        <v>3.0</v>
      </c>
      <c r="J5" s="13">
        <v>3.0</v>
      </c>
      <c r="K5" s="13">
        <v>3.0</v>
      </c>
      <c r="L5" s="13">
        <v>3.0</v>
      </c>
      <c r="M5" s="13">
        <v>3.0</v>
      </c>
      <c r="N5" s="13">
        <v>4.0</v>
      </c>
      <c r="O5" s="13">
        <v>4.0</v>
      </c>
      <c r="P5" s="13">
        <v>4.0</v>
      </c>
      <c r="Q5" s="13">
        <v>3.0</v>
      </c>
      <c r="R5" s="13">
        <v>3.0</v>
      </c>
      <c r="S5" s="13">
        <v>3.0</v>
      </c>
      <c r="T5" s="13">
        <v>3.0</v>
      </c>
      <c r="U5" s="13">
        <v>3.0</v>
      </c>
      <c r="V5" s="13">
        <v>3.0</v>
      </c>
      <c r="W5" s="13">
        <v>3.0</v>
      </c>
      <c r="X5" s="13">
        <v>3.0</v>
      </c>
      <c r="Y5" s="13">
        <v>3.0</v>
      </c>
      <c r="Z5" s="13">
        <v>2.0</v>
      </c>
      <c r="AA5" s="13">
        <v>2.0</v>
      </c>
      <c r="AB5" s="13">
        <v>2.0</v>
      </c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</row>
    <row r="6">
      <c r="A6" s="46" t="s">
        <v>21</v>
      </c>
      <c r="B6" s="16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>
        <v>3.0</v>
      </c>
      <c r="R6" s="13">
        <v>3.0</v>
      </c>
      <c r="S6" s="13">
        <v>3.0</v>
      </c>
      <c r="T6" s="13">
        <v>3.0</v>
      </c>
      <c r="U6" s="13">
        <v>3.0</v>
      </c>
      <c r="V6" s="13">
        <v>3.0</v>
      </c>
      <c r="W6" s="13">
        <v>3.0</v>
      </c>
      <c r="X6" s="13">
        <v>3.0</v>
      </c>
      <c r="Y6" s="13">
        <v>3.0</v>
      </c>
      <c r="Z6" s="13">
        <v>2.0</v>
      </c>
      <c r="AA6" s="13">
        <v>2.0</v>
      </c>
      <c r="AB6" s="13">
        <v>2.0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</row>
    <row r="7">
      <c r="A7" s="46" t="s">
        <v>23</v>
      </c>
      <c r="B7" s="16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>
        <v>3.0</v>
      </c>
      <c r="R7" s="13">
        <v>3.0</v>
      </c>
      <c r="S7" s="13">
        <v>3.0</v>
      </c>
      <c r="T7" s="13">
        <v>3.0</v>
      </c>
      <c r="U7" s="13">
        <v>3.0</v>
      </c>
      <c r="V7" s="13">
        <v>3.0</v>
      </c>
      <c r="W7" s="13">
        <v>3.0</v>
      </c>
      <c r="X7" s="13">
        <v>3.0</v>
      </c>
      <c r="Y7" s="13">
        <v>3.0</v>
      </c>
      <c r="Z7" s="13">
        <v>2.0</v>
      </c>
      <c r="AA7" s="13">
        <v>2.0</v>
      </c>
      <c r="AB7" s="13">
        <v>2.0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</row>
    <row r="8">
      <c r="A8" s="46" t="s">
        <v>26</v>
      </c>
      <c r="B8" s="16">
        <v>2.0</v>
      </c>
      <c r="C8" s="13">
        <v>2.0</v>
      </c>
      <c r="D8" s="13">
        <v>2.0</v>
      </c>
      <c r="E8" s="13">
        <v>2.0</v>
      </c>
      <c r="F8" s="13">
        <v>2.0</v>
      </c>
      <c r="G8" s="13">
        <v>4.0</v>
      </c>
      <c r="H8" s="13">
        <v>2.0</v>
      </c>
      <c r="I8" s="13">
        <v>2.0</v>
      </c>
      <c r="J8" s="13">
        <v>2.0</v>
      </c>
      <c r="K8" s="13">
        <v>2.0</v>
      </c>
      <c r="L8" s="13">
        <v>2.0</v>
      </c>
      <c r="M8" s="13">
        <v>2.0</v>
      </c>
      <c r="N8" s="13">
        <v>4.0</v>
      </c>
      <c r="O8" s="13">
        <v>4.0</v>
      </c>
      <c r="P8" s="13">
        <v>4.0</v>
      </c>
      <c r="Q8" s="13">
        <v>2.0</v>
      </c>
      <c r="R8" s="13">
        <v>2.0</v>
      </c>
      <c r="S8" s="13">
        <v>2.0</v>
      </c>
      <c r="T8" s="13">
        <v>2.0</v>
      </c>
      <c r="U8" s="13">
        <v>2.0</v>
      </c>
      <c r="V8" s="13">
        <v>2.0</v>
      </c>
      <c r="W8" s="13">
        <v>2.0</v>
      </c>
      <c r="X8" s="13">
        <v>2.0</v>
      </c>
      <c r="Y8" s="13">
        <v>2.0</v>
      </c>
      <c r="Z8" s="13">
        <v>2.0</v>
      </c>
      <c r="AA8" s="13">
        <v>2.0</v>
      </c>
      <c r="AB8" s="13">
        <v>2.0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</row>
    <row r="9">
      <c r="A9" s="46" t="s">
        <v>28</v>
      </c>
      <c r="B9" s="16"/>
      <c r="C9" s="13"/>
      <c r="D9" s="13"/>
      <c r="E9" s="13"/>
      <c r="F9" s="13"/>
      <c r="G9" s="13">
        <v>2.0</v>
      </c>
      <c r="H9" s="13"/>
      <c r="I9" s="13"/>
      <c r="J9" s="13"/>
      <c r="K9" s="13"/>
      <c r="L9" s="13"/>
      <c r="M9" s="13"/>
      <c r="N9" s="13">
        <v>2.0</v>
      </c>
      <c r="O9" s="13">
        <v>2.0</v>
      </c>
      <c r="P9" s="13">
        <v>2.0</v>
      </c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</row>
    <row r="10">
      <c r="A10" s="46" t="s">
        <v>30</v>
      </c>
      <c r="B10" s="16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>
        <v>4.0</v>
      </c>
      <c r="R10" s="13">
        <v>4.0</v>
      </c>
      <c r="S10" s="13">
        <v>4.0</v>
      </c>
      <c r="T10" s="13">
        <v>4.0</v>
      </c>
      <c r="U10" s="13">
        <v>4.0</v>
      </c>
      <c r="V10" s="13">
        <v>4.0</v>
      </c>
      <c r="W10" s="13">
        <v>4.0</v>
      </c>
      <c r="X10" s="13">
        <v>4.0</v>
      </c>
      <c r="Y10" s="13">
        <v>4.0</v>
      </c>
      <c r="Z10" s="13">
        <v>6.0</v>
      </c>
      <c r="AA10" s="13">
        <v>6.0</v>
      </c>
      <c r="AB10" s="13">
        <v>6.0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</row>
    <row r="11">
      <c r="A11" s="46" t="s">
        <v>32</v>
      </c>
      <c r="B11" s="16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>
        <v>4.0</v>
      </c>
      <c r="R11" s="13">
        <v>4.0</v>
      </c>
      <c r="S11" s="13">
        <v>4.0</v>
      </c>
      <c r="T11" s="13">
        <v>4.0</v>
      </c>
      <c r="U11" s="13">
        <v>4.0</v>
      </c>
      <c r="V11" s="13">
        <v>4.0</v>
      </c>
      <c r="W11" s="13">
        <v>4.0</v>
      </c>
      <c r="X11" s="13">
        <v>4.0</v>
      </c>
      <c r="Y11" s="13">
        <v>4.0</v>
      </c>
      <c r="Z11" s="13">
        <v>6.0</v>
      </c>
      <c r="AA11" s="13">
        <v>6.0</v>
      </c>
      <c r="AB11" s="13">
        <v>6.0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</row>
    <row r="12">
      <c r="A12" s="46" t="s">
        <v>34</v>
      </c>
      <c r="B12" s="16">
        <v>16.0</v>
      </c>
      <c r="C12" s="13">
        <v>16.0</v>
      </c>
      <c r="D12" s="13">
        <v>16.0</v>
      </c>
      <c r="E12" s="13">
        <v>16.0</v>
      </c>
      <c r="F12" s="13">
        <v>16.0</v>
      </c>
      <c r="G12" s="13">
        <v>32.0</v>
      </c>
      <c r="H12" s="13">
        <v>16.0</v>
      </c>
      <c r="I12" s="13">
        <v>16.0</v>
      </c>
      <c r="J12" s="13">
        <v>16.0</v>
      </c>
      <c r="K12" s="13">
        <v>16.0</v>
      </c>
      <c r="L12" s="13">
        <v>16.0</v>
      </c>
      <c r="M12" s="13">
        <v>16.0</v>
      </c>
      <c r="N12" s="13">
        <v>32.0</v>
      </c>
      <c r="O12" s="13">
        <v>32.0</v>
      </c>
      <c r="P12" s="13">
        <v>32.0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</row>
    <row r="13">
      <c r="A13" s="46" t="s">
        <v>36</v>
      </c>
      <c r="B13" s="16">
        <v>2.0</v>
      </c>
      <c r="C13" s="13">
        <v>2.0</v>
      </c>
      <c r="D13" s="13">
        <v>2.0</v>
      </c>
      <c r="E13" s="13">
        <v>2.0</v>
      </c>
      <c r="F13" s="13">
        <v>2.0</v>
      </c>
      <c r="G13" s="13">
        <v>2.0</v>
      </c>
      <c r="H13" s="13">
        <v>2.0</v>
      </c>
      <c r="I13" s="13">
        <v>2.0</v>
      </c>
      <c r="J13" s="13">
        <v>2.0</v>
      </c>
      <c r="K13" s="13">
        <v>2.0</v>
      </c>
      <c r="L13" s="13">
        <v>2.0</v>
      </c>
      <c r="M13" s="13">
        <v>2.0</v>
      </c>
      <c r="N13" s="13">
        <v>2.0</v>
      </c>
      <c r="O13" s="13">
        <v>2.0</v>
      </c>
      <c r="P13" s="13">
        <v>2.0</v>
      </c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</row>
    <row r="14">
      <c r="A14" s="46" t="s">
        <v>38</v>
      </c>
      <c r="B14" s="16"/>
      <c r="C14" s="13"/>
      <c r="D14" s="13"/>
      <c r="E14" s="13"/>
      <c r="F14" s="13"/>
      <c r="G14" s="13">
        <v>3.0</v>
      </c>
      <c r="H14" s="13"/>
      <c r="I14" s="13"/>
      <c r="J14" s="13"/>
      <c r="K14" s="13"/>
      <c r="L14" s="13"/>
      <c r="M14" s="13"/>
      <c r="N14" s="13">
        <v>3.0</v>
      </c>
      <c r="O14" s="13">
        <v>3.0</v>
      </c>
      <c r="P14" s="13">
        <v>3.0</v>
      </c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</row>
    <row r="15">
      <c r="A15" s="47" t="s">
        <v>40</v>
      </c>
      <c r="B15" s="48"/>
      <c r="C15" s="49"/>
      <c r="D15" s="49"/>
      <c r="E15" s="49"/>
      <c r="F15" s="49"/>
      <c r="G15" s="49">
        <v>3.0</v>
      </c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</row>
    <row r="16">
      <c r="A16" s="47" t="s">
        <v>42</v>
      </c>
      <c r="B16" s="48"/>
      <c r="C16" s="49"/>
      <c r="D16" s="49"/>
      <c r="E16" s="49"/>
      <c r="F16" s="49"/>
      <c r="G16" s="49">
        <v>3.0</v>
      </c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</row>
    <row r="17">
      <c r="A17" s="47" t="s">
        <v>44</v>
      </c>
      <c r="B17" s="48"/>
      <c r="C17" s="49"/>
      <c r="D17" s="49"/>
      <c r="E17" s="49"/>
      <c r="F17" s="49"/>
      <c r="G17" s="49">
        <v>3.0</v>
      </c>
      <c r="H17" s="49"/>
      <c r="I17" s="49"/>
      <c r="J17" s="49"/>
      <c r="K17" s="49"/>
      <c r="L17" s="49"/>
      <c r="M17" s="49"/>
      <c r="N17" s="49">
        <v>3.0</v>
      </c>
      <c r="O17" s="49">
        <v>3.0</v>
      </c>
      <c r="P17" s="49">
        <v>3.0</v>
      </c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</row>
    <row r="18">
      <c r="A18" s="47" t="s">
        <v>46</v>
      </c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>
        <v>3.0</v>
      </c>
      <c r="O18" s="49">
        <v>3.0</v>
      </c>
      <c r="P18" s="49">
        <v>3.0</v>
      </c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</row>
    <row r="19">
      <c r="A19" s="47" t="s">
        <v>48</v>
      </c>
      <c r="B19" s="48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>
        <v>3.0</v>
      </c>
      <c r="O19" s="49">
        <v>3.0</v>
      </c>
      <c r="P19" s="49">
        <v>3.0</v>
      </c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</row>
    <row r="20">
      <c r="A20" s="46" t="s">
        <v>121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</row>
    <row r="21" ht="15.75" customHeight="1">
      <c r="A21" s="46" t="s">
        <v>121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</row>
    <row r="22" ht="15.75" customHeight="1">
      <c r="A22" s="46" t="s">
        <v>121</v>
      </c>
      <c r="B22" s="16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</row>
    <row r="23" ht="15.75" customHeight="1">
      <c r="A23" s="46" t="s">
        <v>121</v>
      </c>
      <c r="B23" s="16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</row>
    <row r="24" ht="15.75" customHeight="1">
      <c r="A24" s="46" t="s">
        <v>121</v>
      </c>
      <c r="B24" s="16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</row>
    <row r="25" ht="15.75" customHeight="1">
      <c r="A25" s="46" t="s">
        <v>121</v>
      </c>
      <c r="B25" s="16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</row>
    <row r="26" ht="15.75" customHeight="1">
      <c r="A26" s="46" t="s">
        <v>121</v>
      </c>
      <c r="B26" s="16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</row>
    <row r="27" ht="15.75" customHeight="1">
      <c r="A27" s="46" t="s">
        <v>121</v>
      </c>
      <c r="B27" s="16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</row>
    <row r="28" ht="15.75" customHeight="1">
      <c r="A28" s="46" t="s">
        <v>121</v>
      </c>
      <c r="B28" s="16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</row>
    <row r="29" ht="15.75" customHeight="1">
      <c r="A29" s="46" t="s">
        <v>121</v>
      </c>
      <c r="B29" s="16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</row>
    <row r="30" ht="15.75" customHeight="1">
      <c r="A30" s="46" t="s">
        <v>121</v>
      </c>
      <c r="B30" s="16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</row>
    <row r="31" ht="15.75" customHeight="1">
      <c r="A31" s="46" t="s">
        <v>121</v>
      </c>
      <c r="B31" s="16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</row>
    <row r="32" ht="15.75" customHeight="1">
      <c r="A32" s="46" t="s">
        <v>121</v>
      </c>
      <c r="B32" s="16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</row>
    <row r="33" ht="15.75" customHeight="1">
      <c r="A33" s="46" t="s">
        <v>121</v>
      </c>
      <c r="B33" s="16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</row>
    <row r="34" ht="15.75" customHeight="1">
      <c r="A34" s="46" t="s">
        <v>121</v>
      </c>
      <c r="B34" s="16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</row>
    <row r="35" ht="15.75" customHeight="1">
      <c r="A35" s="46" t="s">
        <v>121</v>
      </c>
      <c r="B35" s="16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</row>
    <row r="36" ht="15.75" customHeight="1">
      <c r="A36" s="46" t="s">
        <v>121</v>
      </c>
      <c r="B36" s="16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</row>
    <row r="37" ht="15.75" customHeight="1">
      <c r="A37" s="46" t="s">
        <v>121</v>
      </c>
      <c r="B37" s="16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</row>
    <row r="38" ht="15.75" customHeight="1">
      <c r="A38" s="46" t="s">
        <v>121</v>
      </c>
      <c r="B38" s="16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</row>
    <row r="39" ht="15.75" customHeight="1">
      <c r="A39" s="46" t="s">
        <v>121</v>
      </c>
      <c r="B39" s="16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</row>
    <row r="40" ht="15.75" customHeight="1">
      <c r="A40" s="46" t="s">
        <v>121</v>
      </c>
      <c r="B40" s="16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</row>
    <row r="41" ht="15.75" customHeight="1">
      <c r="A41" s="46" t="s">
        <v>121</v>
      </c>
      <c r="B41" s="16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</row>
    <row r="42" ht="15.75" customHeight="1">
      <c r="A42" s="46" t="s">
        <v>121</v>
      </c>
      <c r="B42" s="16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</row>
    <row r="43" ht="15.75" customHeight="1">
      <c r="A43" s="46" t="s">
        <v>121</v>
      </c>
      <c r="B43" s="16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</row>
    <row r="44" ht="15.75" customHeight="1">
      <c r="A44" s="46" t="s">
        <v>121</v>
      </c>
      <c r="B44" s="16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</row>
    <row r="45" ht="15.75" customHeight="1">
      <c r="A45" s="46" t="s">
        <v>121</v>
      </c>
      <c r="B45" s="16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</row>
    <row r="46" ht="15.75" customHeight="1">
      <c r="A46" s="46" t="s">
        <v>121</v>
      </c>
      <c r="B46" s="16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</row>
    <row r="47" ht="15.75" customHeight="1">
      <c r="A47" s="46" t="s">
        <v>121</v>
      </c>
      <c r="B47" s="16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</row>
    <row r="48" ht="15.75" customHeight="1">
      <c r="A48" s="46" t="s">
        <v>121</v>
      </c>
      <c r="B48" s="16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</row>
    <row r="49" ht="15.75" customHeight="1">
      <c r="A49" s="46" t="s">
        <v>121</v>
      </c>
      <c r="B49" s="16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</row>
    <row r="50" ht="15.75" customHeight="1">
      <c r="A50" s="46" t="s">
        <v>121</v>
      </c>
      <c r="B50" s="16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</row>
    <row r="51" ht="15.75" customHeight="1">
      <c r="A51" s="46" t="s">
        <v>121</v>
      </c>
      <c r="B51" s="16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</row>
    <row r="52" ht="15.75" customHeight="1">
      <c r="A52" s="46" t="s">
        <v>121</v>
      </c>
      <c r="B52" s="16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</row>
    <row r="53" ht="15.75" customHeight="1">
      <c r="A53" s="46" t="s">
        <v>121</v>
      </c>
      <c r="B53" s="16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</row>
    <row r="54" ht="15.75" customHeight="1">
      <c r="A54" s="46" t="s">
        <v>121</v>
      </c>
      <c r="B54" s="16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</row>
    <row r="55" ht="15.75" customHeight="1">
      <c r="A55" s="46" t="s">
        <v>121</v>
      </c>
      <c r="B55" s="16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</row>
    <row r="56" ht="15.75" customHeight="1">
      <c r="A56" s="46" t="s">
        <v>121</v>
      </c>
      <c r="B56" s="16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</row>
    <row r="57" ht="15.75" customHeight="1">
      <c r="A57" s="46" t="s">
        <v>121</v>
      </c>
      <c r="B57" s="16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</row>
    <row r="58" ht="15.75" customHeight="1">
      <c r="A58" s="46" t="s">
        <v>121</v>
      </c>
      <c r="B58" s="16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</row>
    <row r="59" ht="15.75" customHeight="1">
      <c r="A59" s="46" t="s">
        <v>121</v>
      </c>
      <c r="B59" s="16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</row>
    <row r="60" ht="15.75" customHeight="1">
      <c r="A60" s="46" t="s">
        <v>121</v>
      </c>
      <c r="B60" s="16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</row>
    <row r="61" ht="15.75" customHeight="1">
      <c r="A61" s="46" t="s">
        <v>121</v>
      </c>
      <c r="B61" s="16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</row>
    <row r="62" ht="15.75" customHeight="1">
      <c r="A62" s="46" t="s">
        <v>121</v>
      </c>
      <c r="B62" s="16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</row>
    <row r="63" ht="15.75" customHeight="1">
      <c r="A63" s="46" t="s">
        <v>121</v>
      </c>
      <c r="B63" s="16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</row>
    <row r="64" ht="15.75" customHeight="1">
      <c r="A64" s="46" t="s">
        <v>121</v>
      </c>
      <c r="B64" s="16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</row>
    <row r="65" ht="15.75" customHeight="1">
      <c r="A65" s="46" t="s">
        <v>121</v>
      </c>
      <c r="B65" s="16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</row>
    <row r="66" ht="15.75" customHeight="1">
      <c r="A66" s="46" t="s">
        <v>121</v>
      </c>
      <c r="B66" s="16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</row>
    <row r="67" ht="15.75" customHeight="1">
      <c r="A67" s="46" t="s">
        <v>121</v>
      </c>
      <c r="B67" s="16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</row>
    <row r="68" ht="15.75" customHeight="1">
      <c r="A68" s="46" t="s">
        <v>121</v>
      </c>
      <c r="B68" s="16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</row>
    <row r="69" ht="15.75" customHeight="1">
      <c r="A69" s="46" t="s">
        <v>121</v>
      </c>
      <c r="B69" s="16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</row>
    <row r="70" ht="15.75" customHeight="1">
      <c r="A70" s="46" t="s">
        <v>121</v>
      </c>
      <c r="B70" s="16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</row>
    <row r="71" ht="15.75" customHeight="1">
      <c r="A71" s="46" t="s">
        <v>121</v>
      </c>
      <c r="B71" s="16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</row>
    <row r="72" ht="15.75" customHeight="1">
      <c r="A72" s="46" t="s">
        <v>121</v>
      </c>
      <c r="B72" s="16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</row>
    <row r="73" ht="15.75" customHeight="1">
      <c r="A73" s="46" t="s">
        <v>121</v>
      </c>
      <c r="B73" s="16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</row>
    <row r="74" ht="15.75" customHeight="1">
      <c r="A74" s="46" t="s">
        <v>121</v>
      </c>
      <c r="B74" s="16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</row>
    <row r="75" ht="15.75" customHeight="1">
      <c r="A75" s="46" t="s">
        <v>121</v>
      </c>
      <c r="B75" s="16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</row>
    <row r="76" ht="15.75" customHeight="1">
      <c r="A76" s="46" t="s">
        <v>121</v>
      </c>
      <c r="B76" s="16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</row>
    <row r="77" ht="15.75" customHeight="1">
      <c r="A77" s="46" t="s">
        <v>121</v>
      </c>
      <c r="B77" s="16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</row>
    <row r="78" ht="15.75" customHeight="1">
      <c r="A78" s="46" t="s">
        <v>121</v>
      </c>
      <c r="B78" s="16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</row>
    <row r="79" ht="15.75" customHeight="1">
      <c r="A79" s="46" t="s">
        <v>121</v>
      </c>
      <c r="B79" s="16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</row>
    <row r="80" ht="15.75" customHeight="1">
      <c r="A80" s="46" t="s">
        <v>121</v>
      </c>
      <c r="B80" s="16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</row>
    <row r="81" ht="15.75" customHeight="1">
      <c r="A81" s="46" t="s">
        <v>121</v>
      </c>
      <c r="B81" s="16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</row>
    <row r="82" ht="15.75" customHeight="1">
      <c r="A82" s="46" t="s">
        <v>121</v>
      </c>
      <c r="B82" s="16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</row>
    <row r="83" ht="15.75" customHeight="1">
      <c r="A83" s="46" t="s">
        <v>121</v>
      </c>
      <c r="B83" s="16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</row>
    <row r="84" ht="15.75" customHeight="1">
      <c r="A84" s="46" t="s">
        <v>121</v>
      </c>
      <c r="B84" s="16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</row>
    <row r="85" ht="15.75" customHeight="1">
      <c r="A85" s="46" t="s">
        <v>121</v>
      </c>
      <c r="B85" s="16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</row>
    <row r="86" ht="15.75" customHeight="1">
      <c r="A86" s="46" t="s">
        <v>121</v>
      </c>
      <c r="B86" s="16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</row>
    <row r="87" ht="15.75" customHeight="1">
      <c r="A87" s="46" t="s">
        <v>121</v>
      </c>
      <c r="B87" s="16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</row>
    <row r="88" ht="15.75" customHeight="1">
      <c r="A88" s="46" t="s">
        <v>121</v>
      </c>
      <c r="B88" s="16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</row>
    <row r="89" ht="15.75" customHeight="1">
      <c r="A89" s="46" t="s">
        <v>121</v>
      </c>
      <c r="B89" s="16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</row>
    <row r="90" ht="15.75" customHeight="1">
      <c r="A90" s="46" t="s">
        <v>121</v>
      </c>
      <c r="B90" s="16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</row>
    <row r="91" ht="15.75" customHeight="1">
      <c r="A91" s="46" t="s">
        <v>121</v>
      </c>
      <c r="B91" s="16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</row>
    <row r="92" ht="15.75" customHeight="1">
      <c r="A92" s="46" t="s">
        <v>121</v>
      </c>
      <c r="B92" s="16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</row>
    <row r="93" ht="15.75" customHeight="1">
      <c r="A93" s="46" t="s">
        <v>121</v>
      </c>
      <c r="B93" s="16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</row>
    <row r="94" ht="15.75" customHeight="1">
      <c r="A94" s="46" t="s">
        <v>121</v>
      </c>
      <c r="B94" s="16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</row>
    <row r="95" ht="15.75" customHeight="1">
      <c r="A95" s="46" t="s">
        <v>121</v>
      </c>
      <c r="B95" s="16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</row>
    <row r="96" ht="15.75" customHeight="1">
      <c r="A96" s="46" t="s">
        <v>121</v>
      </c>
      <c r="B96" s="16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</row>
    <row r="97" ht="15.75" customHeight="1">
      <c r="A97" s="46" t="s">
        <v>121</v>
      </c>
      <c r="B97" s="16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</row>
    <row r="98" ht="15.75" customHeight="1">
      <c r="A98" s="46" t="s">
        <v>121</v>
      </c>
      <c r="B98" s="16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</row>
    <row r="99" ht="15.75" customHeight="1">
      <c r="A99" s="46" t="s">
        <v>121</v>
      </c>
      <c r="B99" s="16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</row>
    <row r="100" ht="15.75" customHeight="1">
      <c r="A100" s="46" t="s">
        <v>121</v>
      </c>
      <c r="B100" s="16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</row>
    <row r="101" ht="15.75" customHeight="1">
      <c r="A101" s="46" t="s">
        <v>121</v>
      </c>
      <c r="B101" s="16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</row>
    <row r="102" ht="15.75" customHeight="1">
      <c r="A102" s="46" t="s">
        <v>121</v>
      </c>
      <c r="B102" s="16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</row>
    <row r="103" ht="15.75" customHeight="1">
      <c r="A103" s="46"/>
      <c r="B103" s="16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</row>
    <row r="104" ht="15.75" customHeight="1">
      <c r="A104" s="46"/>
      <c r="B104" s="16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</row>
    <row r="105" ht="15.75" customHeight="1">
      <c r="A105" s="46"/>
      <c r="B105" s="16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</row>
    <row r="106" ht="15.75" customHeight="1">
      <c r="A106" s="46"/>
      <c r="B106" s="16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</row>
    <row r="107" ht="15.75" customHeight="1">
      <c r="A107" s="46"/>
      <c r="B107" s="16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</row>
    <row r="108" ht="15.75" customHeight="1">
      <c r="A108" s="46"/>
      <c r="B108" s="16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</row>
    <row r="109" ht="15.75" customHeight="1">
      <c r="A109" s="46"/>
      <c r="B109" s="16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</row>
    <row r="110" ht="15.75" customHeight="1">
      <c r="A110" s="46"/>
      <c r="B110" s="16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</row>
    <row r="111" ht="15.75" customHeight="1">
      <c r="A111" s="46"/>
      <c r="B111" s="16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</row>
    <row r="112" ht="15.75" customHeight="1">
      <c r="A112" s="46"/>
      <c r="B112" s="16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</row>
    <row r="113" ht="15.75" customHeight="1">
      <c r="A113" s="46"/>
      <c r="B113" s="16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</row>
    <row r="114" ht="15.75" customHeight="1">
      <c r="A114" s="46"/>
      <c r="B114" s="16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</row>
    <row r="115" ht="15.75" customHeight="1">
      <c r="A115" s="46"/>
      <c r="B115" s="16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</row>
    <row r="116" ht="15.75" customHeight="1">
      <c r="A116" s="46"/>
      <c r="B116" s="16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</row>
    <row r="117" ht="15.75" customHeight="1">
      <c r="A117" s="46"/>
      <c r="B117" s="16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</row>
    <row r="118" ht="15.75" customHeight="1">
      <c r="A118" s="46"/>
      <c r="B118" s="16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</row>
    <row r="119" ht="15.75" customHeight="1">
      <c r="A119" s="46"/>
      <c r="B119" s="16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</row>
    <row r="120" ht="15.75" customHeight="1">
      <c r="A120" s="46"/>
      <c r="B120" s="16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</row>
    <row r="121" ht="15.75" customHeight="1">
      <c r="A121" s="46"/>
      <c r="B121" s="16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</row>
    <row r="122" ht="15.75" customHeight="1">
      <c r="A122" s="46"/>
      <c r="B122" s="16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</row>
    <row r="123" ht="15.75" customHeight="1">
      <c r="A123" s="46"/>
      <c r="B123" s="16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</row>
    <row r="124" ht="15.75" customHeight="1">
      <c r="A124" s="46"/>
      <c r="B124" s="16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</row>
    <row r="125" ht="15.75" customHeight="1">
      <c r="A125" s="46"/>
      <c r="B125" s="16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</row>
    <row r="126" ht="15.75" customHeight="1">
      <c r="A126" s="46"/>
      <c r="B126" s="16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</row>
    <row r="127" ht="15.75" customHeight="1">
      <c r="A127" s="46"/>
      <c r="B127" s="16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</row>
    <row r="128" ht="15.75" customHeight="1">
      <c r="A128" s="46"/>
      <c r="B128" s="16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</row>
    <row r="129" ht="15.75" customHeight="1">
      <c r="A129" s="46"/>
      <c r="B129" s="16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</row>
    <row r="130" ht="15.75" customHeight="1">
      <c r="A130" s="46"/>
      <c r="B130" s="16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</row>
    <row r="131" ht="15.75" customHeight="1">
      <c r="A131" s="46"/>
      <c r="B131" s="16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</row>
    <row r="132" ht="15.75" customHeight="1">
      <c r="A132" s="46"/>
      <c r="B132" s="16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</row>
    <row r="133" ht="15.75" customHeight="1">
      <c r="A133" s="46"/>
      <c r="B133" s="16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</row>
    <row r="134" ht="15.75" customHeight="1">
      <c r="A134" s="46"/>
      <c r="B134" s="16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</row>
    <row r="135" ht="15.75" customHeight="1">
      <c r="A135" s="46"/>
      <c r="B135" s="16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</row>
    <row r="136" ht="15.75" customHeight="1">
      <c r="A136" s="46"/>
      <c r="B136" s="16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</row>
    <row r="137" ht="15.75" customHeight="1">
      <c r="A137" s="46"/>
      <c r="B137" s="16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</row>
    <row r="138" ht="15.75" customHeight="1">
      <c r="A138" s="46"/>
      <c r="B138" s="16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</row>
    <row r="139" ht="15.75" customHeight="1">
      <c r="A139" s="46"/>
      <c r="B139" s="16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</row>
    <row r="140" ht="15.75" customHeight="1">
      <c r="A140" s="46"/>
      <c r="B140" s="16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</row>
    <row r="141" ht="15.75" customHeight="1">
      <c r="A141" s="46"/>
      <c r="B141" s="16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</row>
    <row r="142" ht="15.75" customHeight="1">
      <c r="A142" s="46"/>
      <c r="B142" s="16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</row>
    <row r="143" ht="15.75" customHeight="1">
      <c r="A143" s="46"/>
      <c r="B143" s="16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</row>
    <row r="144" ht="15.75" customHeight="1">
      <c r="A144" s="46"/>
      <c r="B144" s="16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</row>
    <row r="145" ht="15.75" customHeight="1">
      <c r="A145" s="46"/>
      <c r="B145" s="16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</row>
    <row r="146" ht="15.75" customHeight="1">
      <c r="A146" s="46"/>
      <c r="B146" s="16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</row>
    <row r="147" ht="15.75" customHeight="1">
      <c r="A147" s="46"/>
      <c r="B147" s="16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</row>
    <row r="148" ht="15.75" customHeight="1">
      <c r="A148" s="46"/>
      <c r="B148" s="16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</row>
    <row r="149" ht="15.75" customHeight="1">
      <c r="A149" s="46"/>
      <c r="B149" s="16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</row>
    <row r="150" ht="15.75" customHeight="1">
      <c r="A150" s="46"/>
      <c r="B150" s="16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</row>
    <row r="151" ht="15.75" customHeight="1">
      <c r="A151" s="46"/>
      <c r="B151" s="16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</row>
    <row r="152" ht="15.75" customHeight="1">
      <c r="A152" s="46"/>
      <c r="B152" s="16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</row>
    <row r="153" ht="15.75" customHeight="1">
      <c r="A153" s="46"/>
      <c r="B153" s="16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</row>
    <row r="154" ht="15.75" customHeight="1">
      <c r="A154" s="46"/>
      <c r="B154" s="16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</row>
    <row r="155" ht="15.75" customHeight="1">
      <c r="A155" s="46"/>
      <c r="B155" s="16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</row>
    <row r="156" ht="15.75" customHeight="1">
      <c r="A156" s="46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</row>
    <row r="157" ht="15.75" customHeight="1">
      <c r="A157" s="46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</row>
    <row r="158" ht="15.75" customHeight="1">
      <c r="A158" s="46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</row>
    <row r="159" ht="15.75" customHeight="1">
      <c r="A159" s="46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</row>
    <row r="160" ht="15.75" customHeight="1">
      <c r="A160" s="46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</row>
    <row r="161" ht="15.75" customHeight="1">
      <c r="A161" s="46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</row>
    <row r="162" ht="15.75" customHeight="1">
      <c r="A162" s="46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</row>
    <row r="163" ht="15.75" customHeight="1">
      <c r="A163" s="46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</row>
    <row r="164" ht="15.75" customHeight="1">
      <c r="A164" s="46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</row>
    <row r="165" ht="15.75" customHeight="1">
      <c r="A165" s="46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</row>
    <row r="166" ht="15.75" customHeight="1">
      <c r="A166" s="46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</row>
    <row r="167" ht="15.75" customHeight="1">
      <c r="A167" s="46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</row>
    <row r="168" ht="15.75" customHeight="1">
      <c r="A168" s="46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</row>
    <row r="169" ht="15.75" customHeight="1">
      <c r="A169" s="46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</row>
    <row r="170" ht="15.75" customHeight="1">
      <c r="A170" s="46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</row>
    <row r="171" ht="15.75" customHeight="1">
      <c r="A171" s="46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</row>
    <row r="172" ht="15.75" customHeight="1">
      <c r="A172" s="46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</row>
    <row r="173" ht="15.75" customHeight="1">
      <c r="A173" s="46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</row>
    <row r="174" ht="15.75" customHeight="1">
      <c r="A174" s="46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</row>
    <row r="175" ht="15.75" customHeight="1">
      <c r="A175" s="46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</row>
    <row r="176" ht="15.75" customHeight="1">
      <c r="A176" s="46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</row>
    <row r="177" ht="15.75" customHeight="1">
      <c r="A177" s="46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</row>
    <row r="178" ht="15.75" customHeight="1">
      <c r="A178" s="46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</row>
    <row r="179" ht="15.75" customHeight="1">
      <c r="A179" s="46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</row>
    <row r="180" ht="15.75" customHeight="1">
      <c r="A180" s="46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</row>
    <row r="181" ht="15.75" customHeight="1">
      <c r="A181" s="46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</row>
    <row r="182" ht="15.75" customHeight="1">
      <c r="A182" s="46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</row>
    <row r="183" ht="15.75" customHeight="1">
      <c r="A183" s="46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</row>
    <row r="184" ht="15.75" customHeight="1">
      <c r="A184" s="46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</row>
    <row r="185" ht="15.75" customHeight="1">
      <c r="A185" s="46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</row>
    <row r="186" ht="15.75" customHeight="1">
      <c r="A186" s="46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</row>
    <row r="187" ht="15.75" customHeight="1">
      <c r="A187" s="46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</row>
    <row r="188" ht="15.75" customHeight="1">
      <c r="A188" s="46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</row>
    <row r="189" ht="15.75" customHeight="1">
      <c r="A189" s="46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</row>
    <row r="190" ht="15.75" customHeight="1">
      <c r="A190" s="46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</row>
    <row r="191" ht="15.75" customHeight="1">
      <c r="A191" s="46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</row>
    <row r="192" ht="15.75" customHeight="1">
      <c r="A192" s="46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</row>
    <row r="193" ht="15.75" customHeight="1">
      <c r="A193" s="46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</row>
    <row r="194" ht="15.75" customHeight="1">
      <c r="A194" s="46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</row>
    <row r="195" ht="15.75" customHeight="1">
      <c r="A195" s="46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</row>
    <row r="196" ht="15.75" customHeight="1">
      <c r="A196" s="46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</row>
    <row r="197" ht="15.75" customHeight="1">
      <c r="A197" s="46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</row>
    <row r="198" ht="15.75" customHeight="1">
      <c r="A198" s="46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</row>
    <row r="199" ht="15.75" customHeight="1">
      <c r="A199" s="46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</row>
    <row r="200" ht="15.75" customHeight="1">
      <c r="A200" s="46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</row>
    <row r="201" ht="15.75" customHeight="1">
      <c r="A201" s="46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</row>
    <row r="202" ht="15.75" customHeight="1">
      <c r="A202" s="46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</row>
    <row r="203" ht="15.75" customHeight="1">
      <c r="A203" s="46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</row>
    <row r="204" ht="15.75" customHeight="1">
      <c r="A204" s="46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</row>
    <row r="205" ht="15.75" customHeight="1">
      <c r="A205" s="46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</row>
    <row r="206" ht="15.75" customHeight="1">
      <c r="A206" s="46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</row>
    <row r="207" ht="15.75" customHeight="1">
      <c r="A207" s="46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</row>
    <row r="208" ht="15.75" customHeight="1">
      <c r="A208" s="46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</row>
    <row r="209" ht="15.75" customHeight="1">
      <c r="A209" s="46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</row>
    <row r="210" ht="15.75" customHeight="1">
      <c r="A210" s="46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</row>
    <row r="211" ht="15.75" customHeight="1">
      <c r="A211" s="46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</row>
    <row r="212" ht="15.75" customHeight="1">
      <c r="A212" s="46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</row>
    <row r="213" ht="15.75" customHeight="1">
      <c r="A213" s="46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</row>
    <row r="214" ht="15.75" customHeight="1">
      <c r="A214" s="46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</row>
    <row r="215" ht="15.75" customHeight="1">
      <c r="A215" s="46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</row>
    <row r="216" ht="15.75" customHeight="1">
      <c r="A216" s="46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</row>
    <row r="217" ht="15.75" customHeight="1">
      <c r="A217" s="46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</row>
    <row r="218" ht="15.75" customHeight="1">
      <c r="A218" s="46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</row>
    <row r="219" ht="15.75" customHeight="1">
      <c r="A219" s="46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</row>
    <row r="220" ht="15.75" customHeight="1">
      <c r="A220" s="46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/>
      <c r="CG502" s="21"/>
      <c r="CH502" s="21"/>
      <c r="CI502" s="21"/>
      <c r="CJ502" s="21"/>
      <c r="CK502" s="21"/>
      <c r="CL502" s="21"/>
      <c r="CM502" s="21"/>
      <c r="CN502" s="21"/>
      <c r="CO502" s="21"/>
      <c r="CP502" s="21"/>
      <c r="CQ502" s="21"/>
      <c r="CR502" s="21"/>
      <c r="CS502" s="21"/>
      <c r="CT502" s="21"/>
      <c r="CU502" s="21"/>
      <c r="CV502" s="21"/>
      <c r="CW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21"/>
      <c r="CH503" s="21"/>
      <c r="CI503" s="21"/>
      <c r="CJ503" s="21"/>
      <c r="CK503" s="21"/>
      <c r="CL503" s="21"/>
      <c r="CM503" s="21"/>
      <c r="CN503" s="21"/>
      <c r="CO503" s="21"/>
      <c r="CP503" s="21"/>
      <c r="CQ503" s="21"/>
      <c r="CR503" s="21"/>
      <c r="CS503" s="21"/>
      <c r="CT503" s="21"/>
      <c r="CU503" s="21"/>
      <c r="CV503" s="21"/>
      <c r="CW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/>
      <c r="CA504" s="21"/>
      <c r="CB504" s="21"/>
      <c r="CC504" s="21"/>
      <c r="CD504" s="21"/>
      <c r="CE504" s="21"/>
      <c r="CF504" s="21"/>
      <c r="CG504" s="21"/>
      <c r="CH504" s="21"/>
      <c r="CI504" s="21"/>
      <c r="CJ504" s="21"/>
      <c r="CK504" s="21"/>
      <c r="CL504" s="21"/>
      <c r="CM504" s="21"/>
      <c r="CN504" s="21"/>
      <c r="CO504" s="21"/>
      <c r="CP504" s="21"/>
      <c r="CQ504" s="21"/>
      <c r="CR504" s="21"/>
      <c r="CS504" s="21"/>
      <c r="CT504" s="21"/>
      <c r="CU504" s="21"/>
      <c r="CV504" s="21"/>
      <c r="CW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/>
      <c r="CA505" s="21"/>
      <c r="CB505" s="21"/>
      <c r="CC505" s="21"/>
      <c r="CD505" s="21"/>
      <c r="CE505" s="21"/>
      <c r="CF505" s="21"/>
      <c r="CG505" s="21"/>
      <c r="CH505" s="21"/>
      <c r="CI505" s="21"/>
      <c r="CJ505" s="21"/>
      <c r="CK505" s="21"/>
      <c r="CL505" s="21"/>
      <c r="CM505" s="21"/>
      <c r="CN505" s="21"/>
      <c r="CO505" s="21"/>
      <c r="CP505" s="21"/>
      <c r="CQ505" s="21"/>
      <c r="CR505" s="21"/>
      <c r="CS505" s="21"/>
      <c r="CT505" s="21"/>
      <c r="CU505" s="21"/>
      <c r="CV505" s="21"/>
      <c r="CW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  <c r="CA506" s="21"/>
      <c r="CB506" s="21"/>
      <c r="CC506" s="21"/>
      <c r="CD506" s="21"/>
      <c r="CE506" s="21"/>
      <c r="CF506" s="21"/>
      <c r="CG506" s="21"/>
      <c r="CH506" s="21"/>
      <c r="CI506" s="21"/>
      <c r="CJ506" s="21"/>
      <c r="CK506" s="21"/>
      <c r="CL506" s="21"/>
      <c r="CM506" s="21"/>
      <c r="CN506" s="21"/>
      <c r="CO506" s="21"/>
      <c r="CP506" s="21"/>
      <c r="CQ506" s="21"/>
      <c r="CR506" s="21"/>
      <c r="CS506" s="21"/>
      <c r="CT506" s="21"/>
      <c r="CU506" s="21"/>
      <c r="CV506" s="21"/>
      <c r="CW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/>
      <c r="CG507" s="21"/>
      <c r="CH507" s="21"/>
      <c r="CI507" s="21"/>
      <c r="CJ507" s="21"/>
      <c r="CK507" s="21"/>
      <c r="CL507" s="21"/>
      <c r="CM507" s="21"/>
      <c r="CN507" s="21"/>
      <c r="CO507" s="21"/>
      <c r="CP507" s="21"/>
      <c r="CQ507" s="21"/>
      <c r="CR507" s="21"/>
      <c r="CS507" s="21"/>
      <c r="CT507" s="21"/>
      <c r="CU507" s="21"/>
      <c r="CV507" s="21"/>
      <c r="CW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  <c r="CV508" s="21"/>
      <c r="CW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/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21"/>
      <c r="CS510" s="21"/>
      <c r="CT510" s="21"/>
      <c r="CU510" s="21"/>
      <c r="CV510" s="21"/>
      <c r="CW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  <c r="CA511" s="21"/>
      <c r="CB511" s="21"/>
      <c r="CC511" s="21"/>
      <c r="CD511" s="21"/>
      <c r="CE511" s="21"/>
      <c r="CF511" s="21"/>
      <c r="CG511" s="21"/>
      <c r="CH511" s="21"/>
      <c r="CI511" s="21"/>
      <c r="CJ511" s="21"/>
      <c r="CK511" s="21"/>
      <c r="CL511" s="21"/>
      <c r="CM511" s="21"/>
      <c r="CN511" s="21"/>
      <c r="CO511" s="21"/>
      <c r="CP511" s="21"/>
      <c r="CQ511" s="21"/>
      <c r="CR511" s="21"/>
      <c r="CS511" s="21"/>
      <c r="CT511" s="21"/>
      <c r="CU511" s="21"/>
      <c r="CV511" s="21"/>
      <c r="CW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  <c r="CA512" s="21"/>
      <c r="CB512" s="21"/>
      <c r="CC512" s="21"/>
      <c r="CD512" s="21"/>
      <c r="CE512" s="21"/>
      <c r="CF512" s="21"/>
      <c r="CG512" s="21"/>
      <c r="CH512" s="21"/>
      <c r="CI512" s="21"/>
      <c r="CJ512" s="21"/>
      <c r="CK512" s="21"/>
      <c r="CL512" s="21"/>
      <c r="CM512" s="21"/>
      <c r="CN512" s="21"/>
      <c r="CO512" s="21"/>
      <c r="CP512" s="21"/>
      <c r="CQ512" s="21"/>
      <c r="CR512" s="21"/>
      <c r="CS512" s="21"/>
      <c r="CT512" s="21"/>
      <c r="CU512" s="21"/>
      <c r="CV512" s="21"/>
      <c r="CW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  <c r="CA513" s="21"/>
      <c r="CB513" s="21"/>
      <c r="CC513" s="21"/>
      <c r="CD513" s="21"/>
      <c r="CE513" s="21"/>
      <c r="CF513" s="21"/>
      <c r="CG513" s="21"/>
      <c r="CH513" s="21"/>
      <c r="CI513" s="21"/>
      <c r="CJ513" s="21"/>
      <c r="CK513" s="21"/>
      <c r="CL513" s="21"/>
      <c r="CM513" s="21"/>
      <c r="CN513" s="21"/>
      <c r="CO513" s="21"/>
      <c r="CP513" s="21"/>
      <c r="CQ513" s="21"/>
      <c r="CR513" s="21"/>
      <c r="CS513" s="21"/>
      <c r="CT513" s="21"/>
      <c r="CU513" s="21"/>
      <c r="CV513" s="21"/>
      <c r="CW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1"/>
      <c r="CE514" s="21"/>
      <c r="CF514" s="21"/>
      <c r="CG514" s="21"/>
      <c r="CH514" s="21"/>
      <c r="CI514" s="21"/>
      <c r="CJ514" s="21"/>
      <c r="CK514" s="21"/>
      <c r="CL514" s="21"/>
      <c r="CM514" s="21"/>
      <c r="CN514" s="21"/>
      <c r="CO514" s="21"/>
      <c r="CP514" s="21"/>
      <c r="CQ514" s="21"/>
      <c r="CR514" s="21"/>
      <c r="CS514" s="21"/>
      <c r="CT514" s="21"/>
      <c r="CU514" s="21"/>
      <c r="CV514" s="21"/>
      <c r="CW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H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  <c r="CA516" s="21"/>
      <c r="CB516" s="21"/>
      <c r="CC516" s="21"/>
      <c r="CD516" s="21"/>
      <c r="CE516" s="21"/>
      <c r="CF516" s="21"/>
      <c r="CG516" s="21"/>
      <c r="CH516" s="21"/>
      <c r="CI516" s="21"/>
      <c r="CJ516" s="21"/>
      <c r="CK516" s="21"/>
      <c r="CL516" s="21"/>
      <c r="CM516" s="21"/>
      <c r="CN516" s="21"/>
      <c r="CO516" s="21"/>
      <c r="CP516" s="21"/>
      <c r="CQ516" s="21"/>
      <c r="CR516" s="21"/>
      <c r="CS516" s="21"/>
      <c r="CT516" s="21"/>
      <c r="CU516" s="21"/>
      <c r="CV516" s="21"/>
      <c r="CW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1"/>
      <c r="CE517" s="21"/>
      <c r="CF517" s="21"/>
      <c r="CG517" s="21"/>
      <c r="CH517" s="21"/>
      <c r="CI517" s="21"/>
      <c r="CJ517" s="21"/>
      <c r="CK517" s="21"/>
      <c r="CL517" s="21"/>
      <c r="CM517" s="21"/>
      <c r="CN517" s="21"/>
      <c r="CO517" s="21"/>
      <c r="CP517" s="21"/>
      <c r="CQ517" s="21"/>
      <c r="CR517" s="21"/>
      <c r="CS517" s="21"/>
      <c r="CT517" s="21"/>
      <c r="CU517" s="21"/>
      <c r="CV517" s="21"/>
      <c r="CW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  <c r="CC518" s="21"/>
      <c r="CD518" s="21"/>
      <c r="CE518" s="21"/>
      <c r="CF518" s="21"/>
      <c r="CG518" s="21"/>
      <c r="CH518" s="21"/>
      <c r="CI518" s="21"/>
      <c r="CJ518" s="21"/>
      <c r="CK518" s="21"/>
      <c r="CL518" s="21"/>
      <c r="CM518" s="21"/>
      <c r="CN518" s="21"/>
      <c r="CO518" s="21"/>
      <c r="CP518" s="21"/>
      <c r="CQ518" s="21"/>
      <c r="CR518" s="21"/>
      <c r="CS518" s="21"/>
      <c r="CT518" s="21"/>
      <c r="CU518" s="21"/>
      <c r="CV518" s="21"/>
      <c r="CW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1"/>
      <c r="CE519" s="21"/>
      <c r="CF519" s="21"/>
      <c r="CG519" s="21"/>
      <c r="CH519" s="21"/>
      <c r="CI519" s="21"/>
      <c r="CJ519" s="21"/>
      <c r="CK519" s="21"/>
      <c r="CL519" s="21"/>
      <c r="CM519" s="21"/>
      <c r="CN519" s="21"/>
      <c r="CO519" s="21"/>
      <c r="CP519" s="21"/>
      <c r="CQ519" s="21"/>
      <c r="CR519" s="21"/>
      <c r="CS519" s="21"/>
      <c r="CT519" s="21"/>
      <c r="CU519" s="21"/>
      <c r="CV519" s="21"/>
      <c r="CW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  <c r="CA520" s="21"/>
      <c r="CB520" s="21"/>
      <c r="CC520" s="21"/>
      <c r="CD520" s="21"/>
      <c r="CE520" s="21"/>
      <c r="CF520" s="21"/>
      <c r="CG520" s="21"/>
      <c r="CH520" s="21"/>
      <c r="CI520" s="21"/>
      <c r="CJ520" s="21"/>
      <c r="CK520" s="21"/>
      <c r="CL520" s="21"/>
      <c r="CM520" s="21"/>
      <c r="CN520" s="21"/>
      <c r="CO520" s="21"/>
      <c r="CP520" s="21"/>
      <c r="CQ520" s="21"/>
      <c r="CR520" s="21"/>
      <c r="CS520" s="21"/>
      <c r="CT520" s="21"/>
      <c r="CU520" s="21"/>
      <c r="CV520" s="21"/>
      <c r="CW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  <c r="CV521" s="21"/>
      <c r="CW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1"/>
      <c r="CE522" s="21"/>
      <c r="CF522" s="21"/>
      <c r="CG522" s="21"/>
      <c r="CH522" s="21"/>
      <c r="CI522" s="21"/>
      <c r="CJ522" s="21"/>
      <c r="CK522" s="21"/>
      <c r="CL522" s="21"/>
      <c r="CM522" s="21"/>
      <c r="CN522" s="21"/>
      <c r="CO522" s="21"/>
      <c r="CP522" s="21"/>
      <c r="CQ522" s="21"/>
      <c r="CR522" s="21"/>
      <c r="CS522" s="21"/>
      <c r="CT522" s="21"/>
      <c r="CU522" s="21"/>
      <c r="CV522" s="21"/>
      <c r="CW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1"/>
      <c r="CE523" s="21"/>
      <c r="CF523" s="21"/>
      <c r="CG523" s="21"/>
      <c r="CH523" s="21"/>
      <c r="CI523" s="21"/>
      <c r="CJ523" s="21"/>
      <c r="CK523" s="21"/>
      <c r="CL523" s="21"/>
      <c r="CM523" s="21"/>
      <c r="CN523" s="21"/>
      <c r="CO523" s="21"/>
      <c r="CP523" s="21"/>
      <c r="CQ523" s="21"/>
      <c r="CR523" s="21"/>
      <c r="CS523" s="21"/>
      <c r="CT523" s="21"/>
      <c r="CU523" s="21"/>
      <c r="CV523" s="21"/>
      <c r="CW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1"/>
      <c r="CE524" s="21"/>
      <c r="CF524" s="21"/>
      <c r="CG524" s="21"/>
      <c r="CH524" s="21"/>
      <c r="CI524" s="21"/>
      <c r="CJ524" s="21"/>
      <c r="CK524" s="21"/>
      <c r="CL524" s="21"/>
      <c r="CM524" s="21"/>
      <c r="CN524" s="21"/>
      <c r="CO524" s="21"/>
      <c r="CP524" s="21"/>
      <c r="CQ524" s="21"/>
      <c r="CR524" s="21"/>
      <c r="CS524" s="21"/>
      <c r="CT524" s="21"/>
      <c r="CU524" s="21"/>
      <c r="CV524" s="21"/>
      <c r="CW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G525" s="21"/>
      <c r="CH525" s="21"/>
      <c r="CI525" s="21"/>
      <c r="CJ525" s="21"/>
      <c r="CK525" s="21"/>
      <c r="CL525" s="21"/>
      <c r="CM525" s="21"/>
      <c r="CN525" s="21"/>
      <c r="CO525" s="21"/>
      <c r="CP525" s="21"/>
      <c r="CQ525" s="21"/>
      <c r="CR525" s="21"/>
      <c r="CS525" s="21"/>
      <c r="CT525" s="21"/>
      <c r="CU525" s="21"/>
      <c r="CV525" s="21"/>
      <c r="CW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/>
      <c r="CA526" s="21"/>
      <c r="CB526" s="21"/>
      <c r="CC526" s="21"/>
      <c r="CD526" s="21"/>
      <c r="CE526" s="21"/>
      <c r="CF526" s="21"/>
      <c r="CG526" s="21"/>
      <c r="CH526" s="21"/>
      <c r="CI526" s="21"/>
      <c r="CJ526" s="21"/>
      <c r="CK526" s="21"/>
      <c r="CL526" s="21"/>
      <c r="CM526" s="21"/>
      <c r="CN526" s="21"/>
      <c r="CO526" s="21"/>
      <c r="CP526" s="21"/>
      <c r="CQ526" s="21"/>
      <c r="CR526" s="21"/>
      <c r="CS526" s="21"/>
      <c r="CT526" s="21"/>
      <c r="CU526" s="21"/>
      <c r="CV526" s="21"/>
      <c r="CW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1"/>
      <c r="CF527" s="21"/>
      <c r="CG527" s="21"/>
      <c r="CH527" s="21"/>
      <c r="CI527" s="21"/>
      <c r="CJ527" s="21"/>
      <c r="CK527" s="21"/>
      <c r="CL527" s="21"/>
      <c r="CM527" s="21"/>
      <c r="CN527" s="21"/>
      <c r="CO527" s="21"/>
      <c r="CP527" s="21"/>
      <c r="CQ527" s="21"/>
      <c r="CR527" s="21"/>
      <c r="CS527" s="21"/>
      <c r="CT527" s="21"/>
      <c r="CU527" s="21"/>
      <c r="CV527" s="21"/>
      <c r="CW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CG528" s="21"/>
      <c r="CH528" s="21"/>
      <c r="CI528" s="21"/>
      <c r="CJ528" s="21"/>
      <c r="CK528" s="21"/>
      <c r="CL528" s="21"/>
      <c r="CM528" s="21"/>
      <c r="CN528" s="21"/>
      <c r="CO528" s="21"/>
      <c r="CP528" s="21"/>
      <c r="CQ528" s="21"/>
      <c r="CR528" s="21"/>
      <c r="CS528" s="21"/>
      <c r="CT528" s="21"/>
      <c r="CU528" s="21"/>
      <c r="CV528" s="21"/>
      <c r="CW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G529" s="21"/>
      <c r="CH529" s="21"/>
      <c r="CI529" s="21"/>
      <c r="CJ529" s="21"/>
      <c r="CK529" s="21"/>
      <c r="CL529" s="21"/>
      <c r="CM529" s="21"/>
      <c r="CN529" s="21"/>
      <c r="CO529" s="21"/>
      <c r="CP529" s="21"/>
      <c r="CQ529" s="21"/>
      <c r="CR529" s="21"/>
      <c r="CS529" s="21"/>
      <c r="CT529" s="21"/>
      <c r="CU529" s="21"/>
      <c r="CV529" s="21"/>
      <c r="CW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21"/>
      <c r="CK530" s="21"/>
      <c r="CL530" s="21"/>
      <c r="CM530" s="21"/>
      <c r="CN530" s="21"/>
      <c r="CO530" s="21"/>
      <c r="CP530" s="21"/>
      <c r="CQ530" s="21"/>
      <c r="CR530" s="21"/>
      <c r="CS530" s="21"/>
      <c r="CT530" s="21"/>
      <c r="CU530" s="21"/>
      <c r="CV530" s="21"/>
      <c r="CW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G531" s="21"/>
      <c r="CH531" s="21"/>
      <c r="CI531" s="21"/>
      <c r="CJ531" s="21"/>
      <c r="CK531" s="21"/>
      <c r="CL531" s="21"/>
      <c r="CM531" s="21"/>
      <c r="CN531" s="21"/>
      <c r="CO531" s="21"/>
      <c r="CP531" s="21"/>
      <c r="CQ531" s="21"/>
      <c r="CR531" s="21"/>
      <c r="CS531" s="21"/>
      <c r="CT531" s="21"/>
      <c r="CU531" s="21"/>
      <c r="CV531" s="21"/>
      <c r="CW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/>
      <c r="CG532" s="21"/>
      <c r="CH532" s="21"/>
      <c r="CI532" s="21"/>
      <c r="CJ532" s="21"/>
      <c r="CK532" s="21"/>
      <c r="CL532" s="21"/>
      <c r="CM532" s="21"/>
      <c r="CN532" s="21"/>
      <c r="CO532" s="21"/>
      <c r="CP532" s="21"/>
      <c r="CQ532" s="21"/>
      <c r="CR532" s="21"/>
      <c r="CS532" s="21"/>
      <c r="CT532" s="21"/>
      <c r="CU532" s="21"/>
      <c r="CV532" s="21"/>
      <c r="CW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/>
      <c r="CG533" s="21"/>
      <c r="CH533" s="21"/>
      <c r="CI533" s="21"/>
      <c r="CJ533" s="21"/>
      <c r="CK533" s="21"/>
      <c r="CL533" s="21"/>
      <c r="CM533" s="21"/>
      <c r="CN533" s="21"/>
      <c r="CO533" s="21"/>
      <c r="CP533" s="21"/>
      <c r="CQ533" s="21"/>
      <c r="CR533" s="21"/>
      <c r="CS533" s="21"/>
      <c r="CT533" s="21"/>
      <c r="CU533" s="21"/>
      <c r="CV533" s="21"/>
      <c r="CW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1"/>
      <c r="CF534" s="21"/>
      <c r="CG534" s="21"/>
      <c r="CH534" s="21"/>
      <c r="CI534" s="21"/>
      <c r="CJ534" s="21"/>
      <c r="CK534" s="21"/>
      <c r="CL534" s="21"/>
      <c r="CM534" s="21"/>
      <c r="CN534" s="21"/>
      <c r="CO534" s="21"/>
      <c r="CP534" s="21"/>
      <c r="CQ534" s="21"/>
      <c r="CR534" s="21"/>
      <c r="CS534" s="21"/>
      <c r="CT534" s="21"/>
      <c r="CU534" s="21"/>
      <c r="CV534" s="21"/>
      <c r="CW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21"/>
      <c r="CF536" s="21"/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F537" s="21"/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21"/>
      <c r="CK539" s="21"/>
      <c r="CL539" s="21"/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21"/>
      <c r="CF540" s="21"/>
      <c r="CG540" s="21"/>
      <c r="CH540" s="21"/>
      <c r="CI540" s="21"/>
      <c r="CJ540" s="21"/>
      <c r="CK540" s="21"/>
      <c r="CL540" s="21"/>
      <c r="CM540" s="21"/>
      <c r="CN540" s="21"/>
      <c r="CO540" s="21"/>
      <c r="CP540" s="21"/>
      <c r="CQ540" s="21"/>
      <c r="CR540" s="21"/>
      <c r="CS540" s="21"/>
      <c r="CT540" s="21"/>
      <c r="CU540" s="21"/>
      <c r="CV540" s="21"/>
      <c r="CW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1"/>
      <c r="CE541" s="21"/>
      <c r="CF541" s="21"/>
      <c r="CG541" s="21"/>
      <c r="CH541" s="21"/>
      <c r="CI541" s="21"/>
      <c r="CJ541" s="21"/>
      <c r="CK541" s="21"/>
      <c r="CL541" s="21"/>
      <c r="CM541" s="21"/>
      <c r="CN541" s="21"/>
      <c r="CO541" s="21"/>
      <c r="CP541" s="21"/>
      <c r="CQ541" s="21"/>
      <c r="CR541" s="21"/>
      <c r="CS541" s="21"/>
      <c r="CT541" s="21"/>
      <c r="CU541" s="21"/>
      <c r="CV541" s="21"/>
      <c r="CW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  <c r="CV542" s="21"/>
      <c r="CW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  <c r="CA543" s="21"/>
      <c r="CB543" s="21"/>
      <c r="CC543" s="21"/>
      <c r="CD543" s="21"/>
      <c r="CE543" s="21"/>
      <c r="CF543" s="21"/>
      <c r="CG543" s="21"/>
      <c r="CH543" s="21"/>
      <c r="CI543" s="21"/>
      <c r="CJ543" s="21"/>
      <c r="CK543" s="21"/>
      <c r="CL543" s="21"/>
      <c r="CM543" s="21"/>
      <c r="CN543" s="21"/>
      <c r="CO543" s="21"/>
      <c r="CP543" s="21"/>
      <c r="CQ543" s="21"/>
      <c r="CR543" s="21"/>
      <c r="CS543" s="21"/>
      <c r="CT543" s="21"/>
      <c r="CU543" s="21"/>
      <c r="CV543" s="21"/>
      <c r="CW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1"/>
      <c r="CF544" s="21"/>
      <c r="CG544" s="21"/>
      <c r="CH544" s="21"/>
      <c r="CI544" s="21"/>
      <c r="CJ544" s="21"/>
      <c r="CK544" s="21"/>
      <c r="CL544" s="21"/>
      <c r="CM544" s="21"/>
      <c r="CN544" s="21"/>
      <c r="CO544" s="21"/>
      <c r="CP544" s="21"/>
      <c r="CQ544" s="21"/>
      <c r="CR544" s="21"/>
      <c r="CS544" s="21"/>
      <c r="CT544" s="21"/>
      <c r="CU544" s="21"/>
      <c r="CV544" s="21"/>
      <c r="CW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  <c r="CA545" s="21"/>
      <c r="CB545" s="21"/>
      <c r="CC545" s="21"/>
      <c r="CD545" s="21"/>
      <c r="CE545" s="21"/>
      <c r="CF545" s="21"/>
      <c r="CG545" s="21"/>
      <c r="CH545" s="21"/>
      <c r="CI545" s="21"/>
      <c r="CJ545" s="21"/>
      <c r="CK545" s="21"/>
      <c r="CL545" s="21"/>
      <c r="CM545" s="21"/>
      <c r="CN545" s="21"/>
      <c r="CO545" s="21"/>
      <c r="CP545" s="21"/>
      <c r="CQ545" s="21"/>
      <c r="CR545" s="21"/>
      <c r="CS545" s="21"/>
      <c r="CT545" s="21"/>
      <c r="CU545" s="21"/>
      <c r="CV545" s="21"/>
      <c r="CW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1"/>
      <c r="CF546" s="21"/>
      <c r="CG546" s="21"/>
      <c r="CH546" s="21"/>
      <c r="CI546" s="21"/>
      <c r="CJ546" s="21"/>
      <c r="CK546" s="21"/>
      <c r="CL546" s="21"/>
      <c r="CM546" s="21"/>
      <c r="CN546" s="21"/>
      <c r="CO546" s="21"/>
      <c r="CP546" s="21"/>
      <c r="CQ546" s="21"/>
      <c r="CR546" s="21"/>
      <c r="CS546" s="21"/>
      <c r="CT546" s="21"/>
      <c r="CU546" s="21"/>
      <c r="CV546" s="21"/>
      <c r="CW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  <c r="CA547" s="21"/>
      <c r="CB547" s="21"/>
      <c r="CC547" s="21"/>
      <c r="CD547" s="21"/>
      <c r="CE547" s="21"/>
      <c r="CF547" s="21"/>
      <c r="CG547" s="21"/>
      <c r="CH547" s="21"/>
      <c r="CI547" s="21"/>
      <c r="CJ547" s="21"/>
      <c r="CK547" s="21"/>
      <c r="CL547" s="21"/>
      <c r="CM547" s="21"/>
      <c r="CN547" s="21"/>
      <c r="CO547" s="21"/>
      <c r="CP547" s="21"/>
      <c r="CQ547" s="21"/>
      <c r="CR547" s="21"/>
      <c r="CS547" s="21"/>
      <c r="CT547" s="21"/>
      <c r="CU547" s="21"/>
      <c r="CV547" s="21"/>
      <c r="CW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21"/>
      <c r="CK548" s="21"/>
      <c r="CL548" s="21"/>
      <c r="CM548" s="21"/>
      <c r="CN548" s="21"/>
      <c r="CO548" s="21"/>
      <c r="CP548" s="21"/>
      <c r="CQ548" s="21"/>
      <c r="CR548" s="21"/>
      <c r="CS548" s="21"/>
      <c r="CT548" s="21"/>
      <c r="CU548" s="21"/>
      <c r="CV548" s="21"/>
      <c r="CW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D549" s="21"/>
      <c r="CE549" s="21"/>
      <c r="CF549" s="21"/>
      <c r="CG549" s="21"/>
      <c r="CH549" s="21"/>
      <c r="CI549" s="21"/>
      <c r="CJ549" s="21"/>
      <c r="CK549" s="21"/>
      <c r="CL549" s="21"/>
      <c r="CM549" s="21"/>
      <c r="CN549" s="21"/>
      <c r="CO549" s="21"/>
      <c r="CP549" s="21"/>
      <c r="CQ549" s="21"/>
      <c r="CR549" s="21"/>
      <c r="CS549" s="21"/>
      <c r="CT549" s="21"/>
      <c r="CU549" s="21"/>
      <c r="CV549" s="21"/>
      <c r="CW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1"/>
      <c r="CE550" s="21"/>
      <c r="CF550" s="21"/>
      <c r="CG550" s="21"/>
      <c r="CH550" s="21"/>
      <c r="CI550" s="21"/>
      <c r="CJ550" s="21"/>
      <c r="CK550" s="21"/>
      <c r="CL550" s="21"/>
      <c r="CM550" s="21"/>
      <c r="CN550" s="21"/>
      <c r="CO550" s="21"/>
      <c r="CP550" s="21"/>
      <c r="CQ550" s="21"/>
      <c r="CR550" s="21"/>
      <c r="CS550" s="21"/>
      <c r="CT550" s="21"/>
      <c r="CU550" s="21"/>
      <c r="CV550" s="21"/>
      <c r="CW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H551" s="21"/>
      <c r="CI551" s="21"/>
      <c r="CJ551" s="21"/>
      <c r="CK551" s="21"/>
      <c r="CL551" s="21"/>
      <c r="CM551" s="21"/>
      <c r="CN551" s="21"/>
      <c r="CO551" s="21"/>
      <c r="CP551" s="21"/>
      <c r="CQ551" s="21"/>
      <c r="CR551" s="21"/>
      <c r="CS551" s="21"/>
      <c r="CT551" s="21"/>
      <c r="CU551" s="21"/>
      <c r="CV551" s="21"/>
      <c r="CW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  <c r="CA552" s="21"/>
      <c r="CB552" s="21"/>
      <c r="CC552" s="21"/>
      <c r="CD552" s="21"/>
      <c r="CE552" s="21"/>
      <c r="CF552" s="21"/>
      <c r="CG552" s="21"/>
      <c r="CH552" s="21"/>
      <c r="CI552" s="21"/>
      <c r="CJ552" s="21"/>
      <c r="CK552" s="21"/>
      <c r="CL552" s="21"/>
      <c r="CM552" s="21"/>
      <c r="CN552" s="21"/>
      <c r="CO552" s="21"/>
      <c r="CP552" s="21"/>
      <c r="CQ552" s="21"/>
      <c r="CR552" s="21"/>
      <c r="CS552" s="21"/>
      <c r="CT552" s="21"/>
      <c r="CU552" s="21"/>
      <c r="CV552" s="21"/>
      <c r="CW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  <c r="CA555" s="21"/>
      <c r="CB555" s="21"/>
      <c r="CC555" s="21"/>
      <c r="CD555" s="21"/>
      <c r="CE555" s="21"/>
      <c r="CF555" s="21"/>
      <c r="CG555" s="21"/>
      <c r="CH555" s="21"/>
      <c r="CI555" s="21"/>
      <c r="CJ555" s="21"/>
      <c r="CK555" s="21"/>
      <c r="CL555" s="21"/>
      <c r="CM555" s="21"/>
      <c r="CN555" s="21"/>
      <c r="CO555" s="21"/>
      <c r="CP555" s="21"/>
      <c r="CQ555" s="21"/>
      <c r="CR555" s="21"/>
      <c r="CS555" s="21"/>
      <c r="CT555" s="21"/>
      <c r="CU555" s="21"/>
      <c r="CV555" s="21"/>
      <c r="CW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  <c r="CC556" s="21"/>
      <c r="CD556" s="21"/>
      <c r="CE556" s="21"/>
      <c r="CF556" s="21"/>
      <c r="CG556" s="21"/>
      <c r="CH556" s="21"/>
      <c r="CI556" s="21"/>
      <c r="CJ556" s="21"/>
      <c r="CK556" s="21"/>
      <c r="CL556" s="21"/>
      <c r="CM556" s="21"/>
      <c r="CN556" s="21"/>
      <c r="CO556" s="21"/>
      <c r="CP556" s="21"/>
      <c r="CQ556" s="21"/>
      <c r="CR556" s="21"/>
      <c r="CS556" s="21"/>
      <c r="CT556" s="21"/>
      <c r="CU556" s="21"/>
      <c r="CV556" s="21"/>
      <c r="CW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1"/>
      <c r="CE557" s="21"/>
      <c r="CF557" s="21"/>
      <c r="CG557" s="21"/>
      <c r="CH557" s="21"/>
      <c r="CI557" s="21"/>
      <c r="CJ557" s="21"/>
      <c r="CK557" s="21"/>
      <c r="CL557" s="21"/>
      <c r="CM557" s="21"/>
      <c r="CN557" s="21"/>
      <c r="CO557" s="21"/>
      <c r="CP557" s="21"/>
      <c r="CQ557" s="21"/>
      <c r="CR557" s="21"/>
      <c r="CS557" s="21"/>
      <c r="CT557" s="21"/>
      <c r="CU557" s="21"/>
      <c r="CV557" s="21"/>
      <c r="CW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1"/>
      <c r="CE558" s="21"/>
      <c r="CF558" s="21"/>
      <c r="CG558" s="21"/>
      <c r="CH558" s="21"/>
      <c r="CI558" s="21"/>
      <c r="CJ558" s="21"/>
      <c r="CK558" s="21"/>
      <c r="CL558" s="21"/>
      <c r="CM558" s="21"/>
      <c r="CN558" s="21"/>
      <c r="CO558" s="21"/>
      <c r="CP558" s="21"/>
      <c r="CQ558" s="21"/>
      <c r="CR558" s="21"/>
      <c r="CS558" s="21"/>
      <c r="CT558" s="21"/>
      <c r="CU558" s="21"/>
      <c r="CV558" s="21"/>
      <c r="CW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/>
      <c r="CF559" s="21"/>
      <c r="CG559" s="21"/>
      <c r="CH559" s="21"/>
      <c r="CI559" s="21"/>
      <c r="CJ559" s="21"/>
      <c r="CK559" s="21"/>
      <c r="CL559" s="21"/>
      <c r="CM559" s="21"/>
      <c r="CN559" s="21"/>
      <c r="CO559" s="21"/>
      <c r="CP559" s="21"/>
      <c r="CQ559" s="21"/>
      <c r="CR559" s="21"/>
      <c r="CS559" s="21"/>
      <c r="CT559" s="21"/>
      <c r="CU559" s="21"/>
      <c r="CV559" s="21"/>
      <c r="CW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1"/>
      <c r="CE560" s="21"/>
      <c r="CF560" s="21"/>
      <c r="CG560" s="21"/>
      <c r="CH560" s="21"/>
      <c r="CI560" s="21"/>
      <c r="CJ560" s="21"/>
      <c r="CK560" s="21"/>
      <c r="CL560" s="21"/>
      <c r="CM560" s="21"/>
      <c r="CN560" s="21"/>
      <c r="CO560" s="21"/>
      <c r="CP560" s="21"/>
      <c r="CQ560" s="21"/>
      <c r="CR560" s="21"/>
      <c r="CS560" s="21"/>
      <c r="CT560" s="21"/>
      <c r="CU560" s="21"/>
      <c r="CV560" s="21"/>
      <c r="CW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1"/>
      <c r="CE561" s="21"/>
      <c r="CF561" s="21"/>
      <c r="CG561" s="21"/>
      <c r="CH561" s="21"/>
      <c r="CI561" s="21"/>
      <c r="CJ561" s="21"/>
      <c r="CK561" s="21"/>
      <c r="CL561" s="21"/>
      <c r="CM561" s="21"/>
      <c r="CN561" s="21"/>
      <c r="CO561" s="21"/>
      <c r="CP561" s="21"/>
      <c r="CQ561" s="21"/>
      <c r="CR561" s="21"/>
      <c r="CS561" s="21"/>
      <c r="CT561" s="21"/>
      <c r="CU561" s="21"/>
      <c r="CV561" s="21"/>
      <c r="CW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21"/>
      <c r="CF562" s="21"/>
      <c r="CG562" s="21"/>
      <c r="CH562" s="21"/>
      <c r="CI562" s="21"/>
      <c r="CJ562" s="21"/>
      <c r="CK562" s="21"/>
      <c r="CL562" s="21"/>
      <c r="CM562" s="21"/>
      <c r="CN562" s="21"/>
      <c r="CO562" s="21"/>
      <c r="CP562" s="21"/>
      <c r="CQ562" s="21"/>
      <c r="CR562" s="21"/>
      <c r="CS562" s="21"/>
      <c r="CT562" s="21"/>
      <c r="CU562" s="21"/>
      <c r="CV562" s="21"/>
      <c r="CW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1"/>
      <c r="CE563" s="21"/>
      <c r="CF563" s="21"/>
      <c r="CG563" s="21"/>
      <c r="CH563" s="21"/>
      <c r="CI563" s="21"/>
      <c r="CJ563" s="21"/>
      <c r="CK563" s="21"/>
      <c r="CL563" s="21"/>
      <c r="CM563" s="21"/>
      <c r="CN563" s="21"/>
      <c r="CO563" s="21"/>
      <c r="CP563" s="21"/>
      <c r="CQ563" s="21"/>
      <c r="CR563" s="21"/>
      <c r="CS563" s="21"/>
      <c r="CT563" s="21"/>
      <c r="CU563" s="21"/>
      <c r="CV563" s="21"/>
      <c r="CW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1"/>
      <c r="CE564" s="21"/>
      <c r="CF564" s="21"/>
      <c r="CG564" s="21"/>
      <c r="CH564" s="21"/>
      <c r="CI564" s="21"/>
      <c r="CJ564" s="21"/>
      <c r="CK564" s="21"/>
      <c r="CL564" s="21"/>
      <c r="CM564" s="21"/>
      <c r="CN564" s="21"/>
      <c r="CO564" s="21"/>
      <c r="CP564" s="21"/>
      <c r="CQ564" s="21"/>
      <c r="CR564" s="21"/>
      <c r="CS564" s="21"/>
      <c r="CT564" s="21"/>
      <c r="CU564" s="21"/>
      <c r="CV564" s="21"/>
      <c r="CW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21"/>
      <c r="BT565" s="21"/>
      <c r="BU565" s="21"/>
      <c r="BV565" s="21"/>
      <c r="BW565" s="21"/>
      <c r="BX565" s="21"/>
      <c r="BY565" s="21"/>
      <c r="BZ565" s="21"/>
      <c r="CA565" s="21"/>
      <c r="CB565" s="21"/>
      <c r="CC565" s="21"/>
      <c r="CD565" s="21"/>
      <c r="CE565" s="21"/>
      <c r="CF565" s="21"/>
      <c r="CG565" s="21"/>
      <c r="CH565" s="21"/>
      <c r="CI565" s="21"/>
      <c r="CJ565" s="21"/>
      <c r="CK565" s="21"/>
      <c r="CL565" s="21"/>
      <c r="CM565" s="21"/>
      <c r="CN565" s="21"/>
      <c r="CO565" s="21"/>
      <c r="CP565" s="21"/>
      <c r="CQ565" s="21"/>
      <c r="CR565" s="21"/>
      <c r="CS565" s="21"/>
      <c r="CT565" s="21"/>
      <c r="CU565" s="21"/>
      <c r="CV565" s="21"/>
      <c r="CW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21"/>
      <c r="BT566" s="21"/>
      <c r="BU566" s="21"/>
      <c r="BV566" s="21"/>
      <c r="BW566" s="21"/>
      <c r="BX566" s="21"/>
      <c r="BY566" s="21"/>
      <c r="BZ566" s="21"/>
      <c r="CA566" s="21"/>
      <c r="CB566" s="21"/>
      <c r="CC566" s="21"/>
      <c r="CD566" s="21"/>
      <c r="CE566" s="21"/>
      <c r="CF566" s="21"/>
      <c r="CG566" s="21"/>
      <c r="CH566" s="21"/>
      <c r="CI566" s="21"/>
      <c r="CJ566" s="21"/>
      <c r="CK566" s="21"/>
      <c r="CL566" s="21"/>
      <c r="CM566" s="21"/>
      <c r="CN566" s="21"/>
      <c r="CO566" s="21"/>
      <c r="CP566" s="21"/>
      <c r="CQ566" s="21"/>
      <c r="CR566" s="21"/>
      <c r="CS566" s="21"/>
      <c r="CT566" s="21"/>
      <c r="CU566" s="21"/>
      <c r="CV566" s="21"/>
      <c r="CW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1"/>
      <c r="CE567" s="21"/>
      <c r="CF567" s="21"/>
      <c r="CG567" s="21"/>
      <c r="CH567" s="21"/>
      <c r="CI567" s="21"/>
      <c r="CJ567" s="21"/>
      <c r="CK567" s="21"/>
      <c r="CL567" s="21"/>
      <c r="CM567" s="21"/>
      <c r="CN567" s="21"/>
      <c r="CO567" s="21"/>
      <c r="CP567" s="21"/>
      <c r="CQ567" s="21"/>
      <c r="CR567" s="21"/>
      <c r="CS567" s="21"/>
      <c r="CT567" s="21"/>
      <c r="CU567" s="21"/>
      <c r="CV567" s="21"/>
      <c r="CW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  <c r="CA568" s="21"/>
      <c r="CB568" s="21"/>
      <c r="CC568" s="21"/>
      <c r="CD568" s="21"/>
      <c r="CE568" s="21"/>
      <c r="CF568" s="21"/>
      <c r="CG568" s="21"/>
      <c r="CH568" s="21"/>
      <c r="CI568" s="21"/>
      <c r="CJ568" s="21"/>
      <c r="CK568" s="21"/>
      <c r="CL568" s="21"/>
      <c r="CM568" s="21"/>
      <c r="CN568" s="21"/>
      <c r="CO568" s="21"/>
      <c r="CP568" s="21"/>
      <c r="CQ568" s="21"/>
      <c r="CR568" s="21"/>
      <c r="CS568" s="21"/>
      <c r="CT568" s="21"/>
      <c r="CU568" s="21"/>
      <c r="CV568" s="21"/>
      <c r="CW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1"/>
      <c r="CE569" s="21"/>
      <c r="CF569" s="21"/>
      <c r="CG569" s="21"/>
      <c r="CH569" s="21"/>
      <c r="CI569" s="21"/>
      <c r="CJ569" s="21"/>
      <c r="CK569" s="21"/>
      <c r="CL569" s="21"/>
      <c r="CM569" s="21"/>
      <c r="CN569" s="21"/>
      <c r="CO569" s="21"/>
      <c r="CP569" s="21"/>
      <c r="CQ569" s="21"/>
      <c r="CR569" s="21"/>
      <c r="CS569" s="21"/>
      <c r="CT569" s="21"/>
      <c r="CU569" s="21"/>
      <c r="CV569" s="21"/>
      <c r="CW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1"/>
      <c r="CE570" s="21"/>
      <c r="CF570" s="21"/>
      <c r="CG570" s="21"/>
      <c r="CH570" s="21"/>
      <c r="CI570" s="21"/>
      <c r="CJ570" s="21"/>
      <c r="CK570" s="21"/>
      <c r="CL570" s="21"/>
      <c r="CM570" s="21"/>
      <c r="CN570" s="21"/>
      <c r="CO570" s="21"/>
      <c r="CP570" s="21"/>
      <c r="CQ570" s="21"/>
      <c r="CR570" s="21"/>
      <c r="CS570" s="21"/>
      <c r="CT570" s="21"/>
      <c r="CU570" s="21"/>
      <c r="CV570" s="21"/>
      <c r="CW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1"/>
      <c r="CE571" s="21"/>
      <c r="CF571" s="21"/>
      <c r="CG571" s="21"/>
      <c r="CH571" s="21"/>
      <c r="CI571" s="21"/>
      <c r="CJ571" s="21"/>
      <c r="CK571" s="21"/>
      <c r="CL571" s="21"/>
      <c r="CM571" s="21"/>
      <c r="CN571" s="21"/>
      <c r="CO571" s="21"/>
      <c r="CP571" s="21"/>
      <c r="CQ571" s="21"/>
      <c r="CR571" s="21"/>
      <c r="CS571" s="21"/>
      <c r="CT571" s="21"/>
      <c r="CU571" s="21"/>
      <c r="CV571" s="21"/>
      <c r="CW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1"/>
      <c r="CE572" s="21"/>
      <c r="CF572" s="21"/>
      <c r="CG572" s="21"/>
      <c r="CH572" s="21"/>
      <c r="CI572" s="21"/>
      <c r="CJ572" s="21"/>
      <c r="CK572" s="21"/>
      <c r="CL572" s="21"/>
      <c r="CM572" s="21"/>
      <c r="CN572" s="21"/>
      <c r="CO572" s="21"/>
      <c r="CP572" s="21"/>
      <c r="CQ572" s="21"/>
      <c r="CR572" s="21"/>
      <c r="CS572" s="21"/>
      <c r="CT572" s="21"/>
      <c r="CU572" s="21"/>
      <c r="CV572" s="21"/>
      <c r="CW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21"/>
      <c r="CK573" s="21"/>
      <c r="CL573" s="21"/>
      <c r="CM573" s="21"/>
      <c r="CN573" s="21"/>
      <c r="CO573" s="21"/>
      <c r="CP573" s="21"/>
      <c r="CQ573" s="21"/>
      <c r="CR573" s="21"/>
      <c r="CS573" s="21"/>
      <c r="CT573" s="21"/>
      <c r="CU573" s="21"/>
      <c r="CV573" s="21"/>
      <c r="CW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1"/>
      <c r="CE574" s="21"/>
      <c r="CF574" s="21"/>
      <c r="CG574" s="21"/>
      <c r="CH574" s="21"/>
      <c r="CI574" s="21"/>
      <c r="CJ574" s="21"/>
      <c r="CK574" s="21"/>
      <c r="CL574" s="21"/>
      <c r="CM574" s="21"/>
      <c r="CN574" s="21"/>
      <c r="CO574" s="21"/>
      <c r="CP574" s="21"/>
      <c r="CQ574" s="21"/>
      <c r="CR574" s="21"/>
      <c r="CS574" s="21"/>
      <c r="CT574" s="21"/>
      <c r="CU574" s="21"/>
      <c r="CV574" s="21"/>
      <c r="CW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1"/>
      <c r="CE575" s="21"/>
      <c r="CF575" s="21"/>
      <c r="CG575" s="21"/>
      <c r="CH575" s="21"/>
      <c r="CI575" s="21"/>
      <c r="CJ575" s="21"/>
      <c r="CK575" s="21"/>
      <c r="CL575" s="21"/>
      <c r="CM575" s="21"/>
      <c r="CN575" s="21"/>
      <c r="CO575" s="21"/>
      <c r="CP575" s="21"/>
      <c r="CQ575" s="21"/>
      <c r="CR575" s="21"/>
      <c r="CS575" s="21"/>
      <c r="CT575" s="21"/>
      <c r="CU575" s="21"/>
      <c r="CV575" s="21"/>
      <c r="CW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21"/>
      <c r="CF576" s="21"/>
      <c r="CG576" s="21"/>
      <c r="CH576" s="21"/>
      <c r="CI576" s="21"/>
      <c r="CJ576" s="21"/>
      <c r="CK576" s="21"/>
      <c r="CL576" s="21"/>
      <c r="CM576" s="21"/>
      <c r="CN576" s="21"/>
      <c r="CO576" s="21"/>
      <c r="CP576" s="21"/>
      <c r="CQ576" s="21"/>
      <c r="CR576" s="21"/>
      <c r="CS576" s="21"/>
      <c r="CT576" s="21"/>
      <c r="CU576" s="21"/>
      <c r="CV576" s="21"/>
      <c r="CW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1"/>
      <c r="CE577" s="21"/>
      <c r="CF577" s="21"/>
      <c r="CG577" s="21"/>
      <c r="CH577" s="21"/>
      <c r="CI577" s="21"/>
      <c r="CJ577" s="21"/>
      <c r="CK577" s="21"/>
      <c r="CL577" s="21"/>
      <c r="CM577" s="21"/>
      <c r="CN577" s="21"/>
      <c r="CO577" s="21"/>
      <c r="CP577" s="21"/>
      <c r="CQ577" s="21"/>
      <c r="CR577" s="21"/>
      <c r="CS577" s="21"/>
      <c r="CT577" s="21"/>
      <c r="CU577" s="21"/>
      <c r="CV577" s="21"/>
      <c r="CW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1"/>
      <c r="CE578" s="21"/>
      <c r="CF578" s="21"/>
      <c r="CG578" s="21"/>
      <c r="CH578" s="21"/>
      <c r="CI578" s="21"/>
      <c r="CJ578" s="21"/>
      <c r="CK578" s="21"/>
      <c r="CL578" s="21"/>
      <c r="CM578" s="21"/>
      <c r="CN578" s="21"/>
      <c r="CO578" s="21"/>
      <c r="CP578" s="21"/>
      <c r="CQ578" s="21"/>
      <c r="CR578" s="21"/>
      <c r="CS578" s="21"/>
      <c r="CT578" s="21"/>
      <c r="CU578" s="21"/>
      <c r="CV578" s="21"/>
      <c r="CW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  <c r="CA579" s="21"/>
      <c r="CB579" s="21"/>
      <c r="CC579" s="21"/>
      <c r="CD579" s="21"/>
      <c r="CE579" s="21"/>
      <c r="CF579" s="21"/>
      <c r="CG579" s="21"/>
      <c r="CH579" s="21"/>
      <c r="CI579" s="21"/>
      <c r="CJ579" s="21"/>
      <c r="CK579" s="21"/>
      <c r="CL579" s="21"/>
      <c r="CM579" s="21"/>
      <c r="CN579" s="21"/>
      <c r="CO579" s="21"/>
      <c r="CP579" s="21"/>
      <c r="CQ579" s="21"/>
      <c r="CR579" s="21"/>
      <c r="CS579" s="21"/>
      <c r="CT579" s="21"/>
      <c r="CU579" s="21"/>
      <c r="CV579" s="21"/>
      <c r="CW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1"/>
      <c r="CE580" s="21"/>
      <c r="CF580" s="21"/>
      <c r="CG580" s="21"/>
      <c r="CH580" s="21"/>
      <c r="CI580" s="21"/>
      <c r="CJ580" s="21"/>
      <c r="CK580" s="21"/>
      <c r="CL580" s="21"/>
      <c r="CM580" s="21"/>
      <c r="CN580" s="21"/>
      <c r="CO580" s="21"/>
      <c r="CP580" s="21"/>
      <c r="CQ580" s="21"/>
      <c r="CR580" s="21"/>
      <c r="CS580" s="21"/>
      <c r="CT580" s="21"/>
      <c r="CU580" s="21"/>
      <c r="CV580" s="21"/>
      <c r="CW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1"/>
      <c r="CE581" s="21"/>
      <c r="CF581" s="21"/>
      <c r="CG581" s="21"/>
      <c r="CH581" s="21"/>
      <c r="CI581" s="21"/>
      <c r="CJ581" s="21"/>
      <c r="CK581" s="21"/>
      <c r="CL581" s="21"/>
      <c r="CM581" s="21"/>
      <c r="CN581" s="21"/>
      <c r="CO581" s="21"/>
      <c r="CP581" s="21"/>
      <c r="CQ581" s="21"/>
      <c r="CR581" s="21"/>
      <c r="CS581" s="21"/>
      <c r="CT581" s="21"/>
      <c r="CU581" s="21"/>
      <c r="CV581" s="21"/>
      <c r="CW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  <c r="CA582" s="21"/>
      <c r="CB582" s="21"/>
      <c r="CC582" s="21"/>
      <c r="CD582" s="21"/>
      <c r="CE582" s="21"/>
      <c r="CF582" s="21"/>
      <c r="CG582" s="21"/>
      <c r="CH582" s="21"/>
      <c r="CI582" s="21"/>
      <c r="CJ582" s="21"/>
      <c r="CK582" s="21"/>
      <c r="CL582" s="21"/>
      <c r="CM582" s="21"/>
      <c r="CN582" s="21"/>
      <c r="CO582" s="21"/>
      <c r="CP582" s="21"/>
      <c r="CQ582" s="21"/>
      <c r="CR582" s="21"/>
      <c r="CS582" s="21"/>
      <c r="CT582" s="21"/>
      <c r="CU582" s="21"/>
      <c r="CV582" s="21"/>
      <c r="CW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1"/>
      <c r="CE583" s="21"/>
      <c r="CF583" s="21"/>
      <c r="CG583" s="21"/>
      <c r="CH583" s="21"/>
      <c r="CI583" s="21"/>
      <c r="CJ583" s="21"/>
      <c r="CK583" s="21"/>
      <c r="CL583" s="21"/>
      <c r="CM583" s="21"/>
      <c r="CN583" s="21"/>
      <c r="CO583" s="21"/>
      <c r="CP583" s="21"/>
      <c r="CQ583" s="21"/>
      <c r="CR583" s="21"/>
      <c r="CS583" s="21"/>
      <c r="CT583" s="21"/>
      <c r="CU583" s="21"/>
      <c r="CV583" s="21"/>
      <c r="CW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  <c r="CA584" s="21"/>
      <c r="CB584" s="21"/>
      <c r="CC584" s="21"/>
      <c r="CD584" s="21"/>
      <c r="CE584" s="21"/>
      <c r="CF584" s="21"/>
      <c r="CG584" s="21"/>
      <c r="CH584" s="21"/>
      <c r="CI584" s="21"/>
      <c r="CJ584" s="21"/>
      <c r="CK584" s="21"/>
      <c r="CL584" s="21"/>
      <c r="CM584" s="21"/>
      <c r="CN584" s="21"/>
      <c r="CO584" s="21"/>
      <c r="CP584" s="21"/>
      <c r="CQ584" s="21"/>
      <c r="CR584" s="21"/>
      <c r="CS584" s="21"/>
      <c r="CT584" s="21"/>
      <c r="CU584" s="21"/>
      <c r="CV584" s="21"/>
      <c r="CW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  <c r="CA585" s="21"/>
      <c r="CB585" s="21"/>
      <c r="CC585" s="21"/>
      <c r="CD585" s="21"/>
      <c r="CE585" s="21"/>
      <c r="CF585" s="21"/>
      <c r="CG585" s="21"/>
      <c r="CH585" s="21"/>
      <c r="CI585" s="21"/>
      <c r="CJ585" s="21"/>
      <c r="CK585" s="21"/>
      <c r="CL585" s="21"/>
      <c r="CM585" s="21"/>
      <c r="CN585" s="21"/>
      <c r="CO585" s="21"/>
      <c r="CP585" s="21"/>
      <c r="CQ585" s="21"/>
      <c r="CR585" s="21"/>
      <c r="CS585" s="21"/>
      <c r="CT585" s="21"/>
      <c r="CU585" s="21"/>
      <c r="CV585" s="21"/>
      <c r="CW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1"/>
      <c r="CE586" s="21"/>
      <c r="CF586" s="21"/>
      <c r="CG586" s="21"/>
      <c r="CH586" s="21"/>
      <c r="CI586" s="21"/>
      <c r="CJ586" s="21"/>
      <c r="CK586" s="21"/>
      <c r="CL586" s="21"/>
      <c r="CM586" s="21"/>
      <c r="CN586" s="21"/>
      <c r="CO586" s="21"/>
      <c r="CP586" s="21"/>
      <c r="CQ586" s="21"/>
      <c r="CR586" s="21"/>
      <c r="CS586" s="21"/>
      <c r="CT586" s="21"/>
      <c r="CU586" s="21"/>
      <c r="CV586" s="21"/>
      <c r="CW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21"/>
      <c r="CK587" s="21"/>
      <c r="CL587" s="21"/>
      <c r="CM587" s="21"/>
      <c r="CN587" s="21"/>
      <c r="CO587" s="21"/>
      <c r="CP587" s="21"/>
      <c r="CQ587" s="21"/>
      <c r="CR587" s="21"/>
      <c r="CS587" s="21"/>
      <c r="CT587" s="21"/>
      <c r="CU587" s="21"/>
      <c r="CV587" s="21"/>
      <c r="CW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  <c r="CA588" s="21"/>
      <c r="CB588" s="21"/>
      <c r="CC588" s="21"/>
      <c r="CD588" s="21"/>
      <c r="CE588" s="21"/>
      <c r="CF588" s="21"/>
      <c r="CG588" s="21"/>
      <c r="CH588" s="21"/>
      <c r="CI588" s="21"/>
      <c r="CJ588" s="21"/>
      <c r="CK588" s="21"/>
      <c r="CL588" s="21"/>
      <c r="CM588" s="21"/>
      <c r="CN588" s="21"/>
      <c r="CO588" s="21"/>
      <c r="CP588" s="21"/>
      <c r="CQ588" s="21"/>
      <c r="CR588" s="21"/>
      <c r="CS588" s="21"/>
      <c r="CT588" s="21"/>
      <c r="CU588" s="21"/>
      <c r="CV588" s="21"/>
      <c r="CW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1"/>
      <c r="CE589" s="21"/>
      <c r="CF589" s="21"/>
      <c r="CG589" s="21"/>
      <c r="CH589" s="21"/>
      <c r="CI589" s="21"/>
      <c r="CJ589" s="21"/>
      <c r="CK589" s="21"/>
      <c r="CL589" s="21"/>
      <c r="CM589" s="21"/>
      <c r="CN589" s="21"/>
      <c r="CO589" s="21"/>
      <c r="CP589" s="21"/>
      <c r="CQ589" s="21"/>
      <c r="CR589" s="21"/>
      <c r="CS589" s="21"/>
      <c r="CT589" s="21"/>
      <c r="CU589" s="21"/>
      <c r="CV589" s="21"/>
      <c r="CW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21"/>
      <c r="CK590" s="21"/>
      <c r="CL590" s="21"/>
      <c r="CM590" s="21"/>
      <c r="CN590" s="21"/>
      <c r="CO590" s="21"/>
      <c r="CP590" s="21"/>
      <c r="CQ590" s="21"/>
      <c r="CR590" s="21"/>
      <c r="CS590" s="21"/>
      <c r="CT590" s="21"/>
      <c r="CU590" s="21"/>
      <c r="CV590" s="21"/>
      <c r="CW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  <c r="CA591" s="21"/>
      <c r="CB591" s="21"/>
      <c r="CC591" s="21"/>
      <c r="CD591" s="21"/>
      <c r="CE591" s="21"/>
      <c r="CF591" s="21"/>
      <c r="CG591" s="21"/>
      <c r="CH591" s="21"/>
      <c r="CI591" s="21"/>
      <c r="CJ591" s="21"/>
      <c r="CK591" s="21"/>
      <c r="CL591" s="21"/>
      <c r="CM591" s="21"/>
      <c r="CN591" s="21"/>
      <c r="CO591" s="21"/>
      <c r="CP591" s="21"/>
      <c r="CQ591" s="21"/>
      <c r="CR591" s="21"/>
      <c r="CS591" s="21"/>
      <c r="CT591" s="21"/>
      <c r="CU591" s="21"/>
      <c r="CV591" s="21"/>
      <c r="CW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  <c r="CA592" s="21"/>
      <c r="CB592" s="21"/>
      <c r="CC592" s="21"/>
      <c r="CD592" s="21"/>
      <c r="CE592" s="21"/>
      <c r="CF592" s="21"/>
      <c r="CG592" s="21"/>
      <c r="CH592" s="21"/>
      <c r="CI592" s="21"/>
      <c r="CJ592" s="21"/>
      <c r="CK592" s="21"/>
      <c r="CL592" s="21"/>
      <c r="CM592" s="21"/>
      <c r="CN592" s="21"/>
      <c r="CO592" s="21"/>
      <c r="CP592" s="21"/>
      <c r="CQ592" s="21"/>
      <c r="CR592" s="21"/>
      <c r="CS592" s="21"/>
      <c r="CT592" s="21"/>
      <c r="CU592" s="21"/>
      <c r="CV592" s="21"/>
      <c r="CW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  <c r="CA593" s="21"/>
      <c r="CB593" s="21"/>
      <c r="CC593" s="21"/>
      <c r="CD593" s="21"/>
      <c r="CE593" s="21"/>
      <c r="CF593" s="21"/>
      <c r="CG593" s="21"/>
      <c r="CH593" s="21"/>
      <c r="CI593" s="21"/>
      <c r="CJ593" s="21"/>
      <c r="CK593" s="21"/>
      <c r="CL593" s="21"/>
      <c r="CM593" s="21"/>
      <c r="CN593" s="21"/>
      <c r="CO593" s="21"/>
      <c r="CP593" s="21"/>
      <c r="CQ593" s="21"/>
      <c r="CR593" s="21"/>
      <c r="CS593" s="21"/>
      <c r="CT593" s="21"/>
      <c r="CU593" s="21"/>
      <c r="CV593" s="21"/>
      <c r="CW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1"/>
      <c r="CE594" s="21"/>
      <c r="CF594" s="21"/>
      <c r="CG594" s="21"/>
      <c r="CH594" s="21"/>
      <c r="CI594" s="21"/>
      <c r="CJ594" s="21"/>
      <c r="CK594" s="21"/>
      <c r="CL594" s="21"/>
      <c r="CM594" s="21"/>
      <c r="CN594" s="21"/>
      <c r="CO594" s="21"/>
      <c r="CP594" s="21"/>
      <c r="CQ594" s="21"/>
      <c r="CR594" s="21"/>
      <c r="CS594" s="21"/>
      <c r="CT594" s="21"/>
      <c r="CU594" s="21"/>
      <c r="CV594" s="21"/>
      <c r="CW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1"/>
      <c r="CE595" s="21"/>
      <c r="CF595" s="21"/>
      <c r="CG595" s="21"/>
      <c r="CH595" s="21"/>
      <c r="CI595" s="21"/>
      <c r="CJ595" s="21"/>
      <c r="CK595" s="21"/>
      <c r="CL595" s="21"/>
      <c r="CM595" s="21"/>
      <c r="CN595" s="21"/>
      <c r="CO595" s="21"/>
      <c r="CP595" s="21"/>
      <c r="CQ595" s="21"/>
      <c r="CR595" s="21"/>
      <c r="CS595" s="21"/>
      <c r="CT595" s="21"/>
      <c r="CU595" s="21"/>
      <c r="CV595" s="21"/>
      <c r="CW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  <c r="CC596" s="21"/>
      <c r="CD596" s="21"/>
      <c r="CE596" s="21"/>
      <c r="CF596" s="21"/>
      <c r="CG596" s="21"/>
      <c r="CH596" s="21"/>
      <c r="CI596" s="21"/>
      <c r="CJ596" s="21"/>
      <c r="CK596" s="21"/>
      <c r="CL596" s="21"/>
      <c r="CM596" s="21"/>
      <c r="CN596" s="21"/>
      <c r="CO596" s="21"/>
      <c r="CP596" s="21"/>
      <c r="CQ596" s="21"/>
      <c r="CR596" s="21"/>
      <c r="CS596" s="21"/>
      <c r="CT596" s="21"/>
      <c r="CU596" s="21"/>
      <c r="CV596" s="21"/>
      <c r="CW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1"/>
      <c r="CE597" s="21"/>
      <c r="CF597" s="21"/>
      <c r="CG597" s="21"/>
      <c r="CH597" s="21"/>
      <c r="CI597" s="21"/>
      <c r="CJ597" s="21"/>
      <c r="CK597" s="21"/>
      <c r="CL597" s="21"/>
      <c r="CM597" s="21"/>
      <c r="CN597" s="21"/>
      <c r="CO597" s="21"/>
      <c r="CP597" s="21"/>
      <c r="CQ597" s="21"/>
      <c r="CR597" s="21"/>
      <c r="CS597" s="21"/>
      <c r="CT597" s="21"/>
      <c r="CU597" s="21"/>
      <c r="CV597" s="21"/>
      <c r="CW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1"/>
      <c r="CE598" s="21"/>
      <c r="CF598" s="21"/>
      <c r="CG598" s="21"/>
      <c r="CH598" s="21"/>
      <c r="CI598" s="21"/>
      <c r="CJ598" s="21"/>
      <c r="CK598" s="21"/>
      <c r="CL598" s="21"/>
      <c r="CM598" s="21"/>
      <c r="CN598" s="21"/>
      <c r="CO598" s="21"/>
      <c r="CP598" s="21"/>
      <c r="CQ598" s="21"/>
      <c r="CR598" s="21"/>
      <c r="CS598" s="21"/>
      <c r="CT598" s="21"/>
      <c r="CU598" s="21"/>
      <c r="CV598" s="21"/>
      <c r="CW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21"/>
      <c r="BT599" s="21"/>
      <c r="BU599" s="21"/>
      <c r="BV599" s="21"/>
      <c r="BW599" s="21"/>
      <c r="BX599" s="21"/>
      <c r="BY599" s="21"/>
      <c r="BZ599" s="21"/>
      <c r="CA599" s="21"/>
      <c r="CB599" s="21"/>
      <c r="CC599" s="21"/>
      <c r="CD599" s="21"/>
      <c r="CE599" s="21"/>
      <c r="CF599" s="21"/>
      <c r="CG599" s="21"/>
      <c r="CH599" s="21"/>
      <c r="CI599" s="21"/>
      <c r="CJ599" s="21"/>
      <c r="CK599" s="21"/>
      <c r="CL599" s="21"/>
      <c r="CM599" s="21"/>
      <c r="CN599" s="21"/>
      <c r="CO599" s="21"/>
      <c r="CP599" s="21"/>
      <c r="CQ599" s="21"/>
      <c r="CR599" s="21"/>
      <c r="CS599" s="21"/>
      <c r="CT599" s="21"/>
      <c r="CU599" s="21"/>
      <c r="CV599" s="21"/>
      <c r="CW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  <c r="CB600" s="21"/>
      <c r="CC600" s="21"/>
      <c r="CD600" s="21"/>
      <c r="CE600" s="21"/>
      <c r="CF600" s="21"/>
      <c r="CG600" s="21"/>
      <c r="CH600" s="21"/>
      <c r="CI600" s="21"/>
      <c r="CJ600" s="21"/>
      <c r="CK600" s="21"/>
      <c r="CL600" s="21"/>
      <c r="CM600" s="21"/>
      <c r="CN600" s="21"/>
      <c r="CO600" s="21"/>
      <c r="CP600" s="21"/>
      <c r="CQ600" s="21"/>
      <c r="CR600" s="21"/>
      <c r="CS600" s="21"/>
      <c r="CT600" s="21"/>
      <c r="CU600" s="21"/>
      <c r="CV600" s="21"/>
      <c r="CW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1"/>
      <c r="CE601" s="21"/>
      <c r="CF601" s="21"/>
      <c r="CG601" s="21"/>
      <c r="CH601" s="21"/>
      <c r="CI601" s="21"/>
      <c r="CJ601" s="21"/>
      <c r="CK601" s="21"/>
      <c r="CL601" s="21"/>
      <c r="CM601" s="21"/>
      <c r="CN601" s="21"/>
      <c r="CO601" s="21"/>
      <c r="CP601" s="21"/>
      <c r="CQ601" s="21"/>
      <c r="CR601" s="21"/>
      <c r="CS601" s="21"/>
      <c r="CT601" s="21"/>
      <c r="CU601" s="21"/>
      <c r="CV601" s="21"/>
      <c r="CW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1"/>
      <c r="CE602" s="21"/>
      <c r="CF602" s="21"/>
      <c r="CG602" s="21"/>
      <c r="CH602" s="21"/>
      <c r="CI602" s="21"/>
      <c r="CJ602" s="21"/>
      <c r="CK602" s="21"/>
      <c r="CL602" s="21"/>
      <c r="CM602" s="21"/>
      <c r="CN602" s="21"/>
      <c r="CO602" s="21"/>
      <c r="CP602" s="21"/>
      <c r="CQ602" s="21"/>
      <c r="CR602" s="21"/>
      <c r="CS602" s="21"/>
      <c r="CT602" s="21"/>
      <c r="CU602" s="21"/>
      <c r="CV602" s="21"/>
      <c r="CW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1"/>
      <c r="CE603" s="21"/>
      <c r="CF603" s="21"/>
      <c r="CG603" s="21"/>
      <c r="CH603" s="21"/>
      <c r="CI603" s="21"/>
      <c r="CJ603" s="21"/>
      <c r="CK603" s="21"/>
      <c r="CL603" s="21"/>
      <c r="CM603" s="21"/>
      <c r="CN603" s="21"/>
      <c r="CO603" s="21"/>
      <c r="CP603" s="21"/>
      <c r="CQ603" s="21"/>
      <c r="CR603" s="21"/>
      <c r="CS603" s="21"/>
      <c r="CT603" s="21"/>
      <c r="CU603" s="21"/>
      <c r="CV603" s="21"/>
      <c r="CW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21"/>
      <c r="CK604" s="21"/>
      <c r="CL604" s="21"/>
      <c r="CM604" s="21"/>
      <c r="CN604" s="21"/>
      <c r="CO604" s="21"/>
      <c r="CP604" s="21"/>
      <c r="CQ604" s="21"/>
      <c r="CR604" s="21"/>
      <c r="CS604" s="21"/>
      <c r="CT604" s="21"/>
      <c r="CU604" s="21"/>
      <c r="CV604" s="21"/>
      <c r="CW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21"/>
      <c r="CK605" s="21"/>
      <c r="CL605" s="21"/>
      <c r="CM605" s="21"/>
      <c r="CN605" s="21"/>
      <c r="CO605" s="21"/>
      <c r="CP605" s="21"/>
      <c r="CQ605" s="21"/>
      <c r="CR605" s="21"/>
      <c r="CS605" s="21"/>
      <c r="CT605" s="21"/>
      <c r="CU605" s="21"/>
      <c r="CV605" s="21"/>
      <c r="CW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21"/>
      <c r="CK606" s="21"/>
      <c r="CL606" s="21"/>
      <c r="CM606" s="21"/>
      <c r="CN606" s="21"/>
      <c r="CO606" s="21"/>
      <c r="CP606" s="21"/>
      <c r="CQ606" s="21"/>
      <c r="CR606" s="21"/>
      <c r="CS606" s="21"/>
      <c r="CT606" s="21"/>
      <c r="CU606" s="21"/>
      <c r="CV606" s="21"/>
      <c r="CW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21"/>
      <c r="CK608" s="21"/>
      <c r="CL608" s="21"/>
      <c r="CM608" s="21"/>
      <c r="CN608" s="21"/>
      <c r="CO608" s="21"/>
      <c r="CP608" s="21"/>
      <c r="CQ608" s="21"/>
      <c r="CR608" s="21"/>
      <c r="CS608" s="21"/>
      <c r="CT608" s="21"/>
      <c r="CU608" s="21"/>
      <c r="CV608" s="21"/>
      <c r="CW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  <c r="CV609" s="21"/>
      <c r="CW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21"/>
      <c r="CK610" s="21"/>
      <c r="CL610" s="21"/>
      <c r="CM610" s="21"/>
      <c r="CN610" s="21"/>
      <c r="CO610" s="21"/>
      <c r="CP610" s="21"/>
      <c r="CQ610" s="21"/>
      <c r="CR610" s="21"/>
      <c r="CS610" s="21"/>
      <c r="CT610" s="21"/>
      <c r="CU610" s="21"/>
      <c r="CV610" s="21"/>
      <c r="CW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1"/>
      <c r="CE611" s="21"/>
      <c r="CF611" s="21"/>
      <c r="CG611" s="21"/>
      <c r="CH611" s="21"/>
      <c r="CI611" s="21"/>
      <c r="CJ611" s="21"/>
      <c r="CK611" s="21"/>
      <c r="CL611" s="21"/>
      <c r="CM611" s="21"/>
      <c r="CN611" s="21"/>
      <c r="CO611" s="21"/>
      <c r="CP611" s="21"/>
      <c r="CQ611" s="21"/>
      <c r="CR611" s="21"/>
      <c r="CS611" s="21"/>
      <c r="CT611" s="21"/>
      <c r="CU611" s="21"/>
      <c r="CV611" s="21"/>
      <c r="CW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1"/>
      <c r="CE612" s="21"/>
      <c r="CF612" s="21"/>
      <c r="CG612" s="21"/>
      <c r="CH612" s="21"/>
      <c r="CI612" s="21"/>
      <c r="CJ612" s="21"/>
      <c r="CK612" s="21"/>
      <c r="CL612" s="21"/>
      <c r="CM612" s="21"/>
      <c r="CN612" s="21"/>
      <c r="CO612" s="21"/>
      <c r="CP612" s="21"/>
      <c r="CQ612" s="21"/>
      <c r="CR612" s="21"/>
      <c r="CS612" s="21"/>
      <c r="CT612" s="21"/>
      <c r="CU612" s="21"/>
      <c r="CV612" s="21"/>
      <c r="CW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1"/>
      <c r="CE613" s="21"/>
      <c r="CF613" s="21"/>
      <c r="CG613" s="21"/>
      <c r="CH613" s="21"/>
      <c r="CI613" s="21"/>
      <c r="CJ613" s="21"/>
      <c r="CK613" s="21"/>
      <c r="CL613" s="21"/>
      <c r="CM613" s="21"/>
      <c r="CN613" s="21"/>
      <c r="CO613" s="21"/>
      <c r="CP613" s="21"/>
      <c r="CQ613" s="21"/>
      <c r="CR613" s="21"/>
      <c r="CS613" s="21"/>
      <c r="CT613" s="21"/>
      <c r="CU613" s="21"/>
      <c r="CV613" s="21"/>
      <c r="CW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1"/>
      <c r="CE614" s="21"/>
      <c r="CF614" s="21"/>
      <c r="CG614" s="21"/>
      <c r="CH614" s="21"/>
      <c r="CI614" s="21"/>
      <c r="CJ614" s="21"/>
      <c r="CK614" s="21"/>
      <c r="CL614" s="21"/>
      <c r="CM614" s="21"/>
      <c r="CN614" s="21"/>
      <c r="CO614" s="21"/>
      <c r="CP614" s="21"/>
      <c r="CQ614" s="21"/>
      <c r="CR614" s="21"/>
      <c r="CS614" s="21"/>
      <c r="CT614" s="21"/>
      <c r="CU614" s="21"/>
      <c r="CV614" s="21"/>
      <c r="CW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21"/>
      <c r="CK615" s="21"/>
      <c r="CL615" s="21"/>
      <c r="CM615" s="21"/>
      <c r="CN615" s="21"/>
      <c r="CO615" s="21"/>
      <c r="CP615" s="21"/>
      <c r="CQ615" s="21"/>
      <c r="CR615" s="21"/>
      <c r="CS615" s="21"/>
      <c r="CT615" s="21"/>
      <c r="CU615" s="21"/>
      <c r="CV615" s="21"/>
      <c r="CW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E617" s="21"/>
      <c r="CF617" s="21"/>
      <c r="CG617" s="21"/>
      <c r="CH617" s="21"/>
      <c r="CI617" s="21"/>
      <c r="CJ617" s="21"/>
      <c r="CK617" s="21"/>
      <c r="CL617" s="21"/>
      <c r="CM617" s="21"/>
      <c r="CN617" s="21"/>
      <c r="CO617" s="21"/>
      <c r="CP617" s="21"/>
      <c r="CQ617" s="21"/>
      <c r="CR617" s="21"/>
      <c r="CS617" s="21"/>
      <c r="CT617" s="21"/>
      <c r="CU617" s="21"/>
      <c r="CV617" s="21"/>
      <c r="CW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  <c r="CC618" s="21"/>
      <c r="CD618" s="21"/>
      <c r="CE618" s="21"/>
      <c r="CF618" s="21"/>
      <c r="CG618" s="21"/>
      <c r="CH618" s="21"/>
      <c r="CI618" s="21"/>
      <c r="CJ618" s="21"/>
      <c r="CK618" s="21"/>
      <c r="CL618" s="21"/>
      <c r="CM618" s="21"/>
      <c r="CN618" s="21"/>
      <c r="CO618" s="21"/>
      <c r="CP618" s="21"/>
      <c r="CQ618" s="21"/>
      <c r="CR618" s="21"/>
      <c r="CS618" s="21"/>
      <c r="CT618" s="21"/>
      <c r="CU618" s="21"/>
      <c r="CV618" s="21"/>
      <c r="CW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D619" s="21"/>
      <c r="CE619" s="21"/>
      <c r="CF619" s="21"/>
      <c r="CG619" s="21"/>
      <c r="CH619" s="21"/>
      <c r="CI619" s="21"/>
      <c r="CJ619" s="21"/>
      <c r="CK619" s="21"/>
      <c r="CL619" s="21"/>
      <c r="CM619" s="21"/>
      <c r="CN619" s="21"/>
      <c r="CO619" s="21"/>
      <c r="CP619" s="21"/>
      <c r="CQ619" s="21"/>
      <c r="CR619" s="21"/>
      <c r="CS619" s="21"/>
      <c r="CT619" s="21"/>
      <c r="CU619" s="21"/>
      <c r="CV619" s="21"/>
      <c r="CW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  <c r="CA620" s="21"/>
      <c r="CB620" s="21"/>
      <c r="CC620" s="21"/>
      <c r="CD620" s="21"/>
      <c r="CE620" s="21"/>
      <c r="CF620" s="21"/>
      <c r="CG620" s="21"/>
      <c r="CH620" s="21"/>
      <c r="CI620" s="21"/>
      <c r="CJ620" s="21"/>
      <c r="CK620" s="21"/>
      <c r="CL620" s="21"/>
      <c r="CM620" s="21"/>
      <c r="CN620" s="21"/>
      <c r="CO620" s="21"/>
      <c r="CP620" s="21"/>
      <c r="CQ620" s="21"/>
      <c r="CR620" s="21"/>
      <c r="CS620" s="21"/>
      <c r="CT620" s="21"/>
      <c r="CU620" s="21"/>
      <c r="CV620" s="21"/>
      <c r="CW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  <c r="CA621" s="21"/>
      <c r="CB621" s="21"/>
      <c r="CC621" s="21"/>
      <c r="CD621" s="21"/>
      <c r="CE621" s="21"/>
      <c r="CF621" s="21"/>
      <c r="CG621" s="21"/>
      <c r="CH621" s="21"/>
      <c r="CI621" s="21"/>
      <c r="CJ621" s="21"/>
      <c r="CK621" s="21"/>
      <c r="CL621" s="21"/>
      <c r="CM621" s="21"/>
      <c r="CN621" s="21"/>
      <c r="CO621" s="21"/>
      <c r="CP621" s="21"/>
      <c r="CQ621" s="21"/>
      <c r="CR621" s="21"/>
      <c r="CS621" s="21"/>
      <c r="CT621" s="21"/>
      <c r="CU621" s="21"/>
      <c r="CV621" s="21"/>
      <c r="CW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  <c r="CA622" s="21"/>
      <c r="CB622" s="21"/>
      <c r="CC622" s="21"/>
      <c r="CD622" s="21"/>
      <c r="CE622" s="21"/>
      <c r="CF622" s="21"/>
      <c r="CG622" s="21"/>
      <c r="CH622" s="21"/>
      <c r="CI622" s="21"/>
      <c r="CJ622" s="21"/>
      <c r="CK622" s="21"/>
      <c r="CL622" s="21"/>
      <c r="CM622" s="21"/>
      <c r="CN622" s="21"/>
      <c r="CO622" s="21"/>
      <c r="CP622" s="21"/>
      <c r="CQ622" s="21"/>
      <c r="CR622" s="21"/>
      <c r="CS622" s="21"/>
      <c r="CT622" s="21"/>
      <c r="CU622" s="21"/>
      <c r="CV622" s="21"/>
      <c r="CW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  <c r="CC623" s="21"/>
      <c r="CD623" s="21"/>
      <c r="CE623" s="21"/>
      <c r="CF623" s="21"/>
      <c r="CG623" s="21"/>
      <c r="CH623" s="21"/>
      <c r="CI623" s="21"/>
      <c r="CJ623" s="21"/>
      <c r="CK623" s="21"/>
      <c r="CL623" s="21"/>
      <c r="CM623" s="21"/>
      <c r="CN623" s="21"/>
      <c r="CO623" s="21"/>
      <c r="CP623" s="21"/>
      <c r="CQ623" s="21"/>
      <c r="CR623" s="21"/>
      <c r="CS623" s="21"/>
      <c r="CT623" s="21"/>
      <c r="CU623" s="21"/>
      <c r="CV623" s="21"/>
      <c r="CW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21"/>
      <c r="CK624" s="21"/>
      <c r="CL624" s="21"/>
      <c r="CM624" s="21"/>
      <c r="CN624" s="21"/>
      <c r="CO624" s="21"/>
      <c r="CP624" s="21"/>
      <c r="CQ624" s="21"/>
      <c r="CR624" s="21"/>
      <c r="CS624" s="21"/>
      <c r="CT624" s="21"/>
      <c r="CU624" s="21"/>
      <c r="CV624" s="21"/>
      <c r="CW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  <c r="CA625" s="21"/>
      <c r="CB625" s="21"/>
      <c r="CC625" s="21"/>
      <c r="CD625" s="21"/>
      <c r="CE625" s="21"/>
      <c r="CF625" s="21"/>
      <c r="CG625" s="21"/>
      <c r="CH625" s="21"/>
      <c r="CI625" s="21"/>
      <c r="CJ625" s="21"/>
      <c r="CK625" s="21"/>
      <c r="CL625" s="21"/>
      <c r="CM625" s="21"/>
      <c r="CN625" s="21"/>
      <c r="CO625" s="21"/>
      <c r="CP625" s="21"/>
      <c r="CQ625" s="21"/>
      <c r="CR625" s="21"/>
      <c r="CS625" s="21"/>
      <c r="CT625" s="21"/>
      <c r="CU625" s="21"/>
      <c r="CV625" s="21"/>
      <c r="CW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  <c r="CA626" s="21"/>
      <c r="CB626" s="21"/>
      <c r="CC626" s="21"/>
      <c r="CD626" s="21"/>
      <c r="CE626" s="21"/>
      <c r="CF626" s="21"/>
      <c r="CG626" s="21"/>
      <c r="CH626" s="21"/>
      <c r="CI626" s="21"/>
      <c r="CJ626" s="21"/>
      <c r="CK626" s="21"/>
      <c r="CL626" s="21"/>
      <c r="CM626" s="21"/>
      <c r="CN626" s="21"/>
      <c r="CO626" s="21"/>
      <c r="CP626" s="21"/>
      <c r="CQ626" s="21"/>
      <c r="CR626" s="21"/>
      <c r="CS626" s="21"/>
      <c r="CT626" s="21"/>
      <c r="CU626" s="21"/>
      <c r="CV626" s="21"/>
      <c r="CW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  <c r="CA627" s="21"/>
      <c r="CB627" s="21"/>
      <c r="CC627" s="21"/>
      <c r="CD627" s="21"/>
      <c r="CE627" s="21"/>
      <c r="CF627" s="21"/>
      <c r="CG627" s="21"/>
      <c r="CH627" s="21"/>
      <c r="CI627" s="21"/>
      <c r="CJ627" s="21"/>
      <c r="CK627" s="21"/>
      <c r="CL627" s="21"/>
      <c r="CM627" s="21"/>
      <c r="CN627" s="21"/>
      <c r="CO627" s="21"/>
      <c r="CP627" s="21"/>
      <c r="CQ627" s="21"/>
      <c r="CR627" s="21"/>
      <c r="CS627" s="21"/>
      <c r="CT627" s="21"/>
      <c r="CU627" s="21"/>
      <c r="CV627" s="21"/>
      <c r="CW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  <c r="CA628" s="21"/>
      <c r="CB628" s="21"/>
      <c r="CC628" s="21"/>
      <c r="CD628" s="21"/>
      <c r="CE628" s="21"/>
      <c r="CF628" s="21"/>
      <c r="CG628" s="21"/>
      <c r="CH628" s="21"/>
      <c r="CI628" s="21"/>
      <c r="CJ628" s="21"/>
      <c r="CK628" s="21"/>
      <c r="CL628" s="21"/>
      <c r="CM628" s="21"/>
      <c r="CN628" s="21"/>
      <c r="CO628" s="21"/>
      <c r="CP628" s="21"/>
      <c r="CQ628" s="21"/>
      <c r="CR628" s="21"/>
      <c r="CS628" s="21"/>
      <c r="CT628" s="21"/>
      <c r="CU628" s="21"/>
      <c r="CV628" s="21"/>
      <c r="CW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B629" s="21"/>
      <c r="CC629" s="21"/>
      <c r="CD629" s="21"/>
      <c r="CE629" s="21"/>
      <c r="CF629" s="21"/>
      <c r="CG629" s="21"/>
      <c r="CH629" s="21"/>
      <c r="CI629" s="21"/>
      <c r="CJ629" s="21"/>
      <c r="CK629" s="21"/>
      <c r="CL629" s="21"/>
      <c r="CM629" s="21"/>
      <c r="CN629" s="21"/>
      <c r="CO629" s="21"/>
      <c r="CP629" s="21"/>
      <c r="CQ629" s="21"/>
      <c r="CR629" s="21"/>
      <c r="CS629" s="21"/>
      <c r="CT629" s="21"/>
      <c r="CU629" s="21"/>
      <c r="CV629" s="21"/>
      <c r="CW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  <c r="CC630" s="21"/>
      <c r="CD630" s="21"/>
      <c r="CE630" s="21"/>
      <c r="CF630" s="21"/>
      <c r="CG630" s="21"/>
      <c r="CH630" s="21"/>
      <c r="CI630" s="21"/>
      <c r="CJ630" s="21"/>
      <c r="CK630" s="21"/>
      <c r="CL630" s="21"/>
      <c r="CM630" s="21"/>
      <c r="CN630" s="21"/>
      <c r="CO630" s="21"/>
      <c r="CP630" s="21"/>
      <c r="CQ630" s="21"/>
      <c r="CR630" s="21"/>
      <c r="CS630" s="21"/>
      <c r="CT630" s="21"/>
      <c r="CU630" s="21"/>
      <c r="CV630" s="21"/>
      <c r="CW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  <c r="CC631" s="21"/>
      <c r="CD631" s="21"/>
      <c r="CE631" s="21"/>
      <c r="CF631" s="21"/>
      <c r="CG631" s="21"/>
      <c r="CH631" s="21"/>
      <c r="CI631" s="21"/>
      <c r="CJ631" s="21"/>
      <c r="CK631" s="21"/>
      <c r="CL631" s="21"/>
      <c r="CM631" s="21"/>
      <c r="CN631" s="21"/>
      <c r="CO631" s="21"/>
      <c r="CP631" s="21"/>
      <c r="CQ631" s="21"/>
      <c r="CR631" s="21"/>
      <c r="CS631" s="21"/>
      <c r="CT631" s="21"/>
      <c r="CU631" s="21"/>
      <c r="CV631" s="21"/>
      <c r="CW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1"/>
      <c r="CE632" s="21"/>
      <c r="CF632" s="21"/>
      <c r="CG632" s="21"/>
      <c r="CH632" s="21"/>
      <c r="CI632" s="21"/>
      <c r="CJ632" s="21"/>
      <c r="CK632" s="21"/>
      <c r="CL632" s="21"/>
      <c r="CM632" s="21"/>
      <c r="CN632" s="21"/>
      <c r="CO632" s="21"/>
      <c r="CP632" s="21"/>
      <c r="CQ632" s="21"/>
      <c r="CR632" s="21"/>
      <c r="CS632" s="21"/>
      <c r="CT632" s="21"/>
      <c r="CU632" s="21"/>
      <c r="CV632" s="21"/>
      <c r="CW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1"/>
      <c r="CE633" s="21"/>
      <c r="CF633" s="21"/>
      <c r="CG633" s="21"/>
      <c r="CH633" s="21"/>
      <c r="CI633" s="21"/>
      <c r="CJ633" s="21"/>
      <c r="CK633" s="21"/>
      <c r="CL633" s="21"/>
      <c r="CM633" s="21"/>
      <c r="CN633" s="21"/>
      <c r="CO633" s="21"/>
      <c r="CP633" s="21"/>
      <c r="CQ633" s="21"/>
      <c r="CR633" s="21"/>
      <c r="CS633" s="21"/>
      <c r="CT633" s="21"/>
      <c r="CU633" s="21"/>
      <c r="CV633" s="21"/>
      <c r="CW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21"/>
      <c r="BT634" s="21"/>
      <c r="BU634" s="21"/>
      <c r="BV634" s="21"/>
      <c r="BW634" s="21"/>
      <c r="BX634" s="21"/>
      <c r="BY634" s="21"/>
      <c r="BZ634" s="21"/>
      <c r="CA634" s="21"/>
      <c r="CB634" s="21"/>
      <c r="CC634" s="21"/>
      <c r="CD634" s="21"/>
      <c r="CE634" s="21"/>
      <c r="CF634" s="21"/>
      <c r="CG634" s="21"/>
      <c r="CH634" s="21"/>
      <c r="CI634" s="21"/>
      <c r="CJ634" s="21"/>
      <c r="CK634" s="21"/>
      <c r="CL634" s="21"/>
      <c r="CM634" s="21"/>
      <c r="CN634" s="21"/>
      <c r="CO634" s="21"/>
      <c r="CP634" s="21"/>
      <c r="CQ634" s="21"/>
      <c r="CR634" s="21"/>
      <c r="CS634" s="21"/>
      <c r="CT634" s="21"/>
      <c r="CU634" s="21"/>
      <c r="CV634" s="21"/>
      <c r="CW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21"/>
      <c r="BT635" s="21"/>
      <c r="BU635" s="21"/>
      <c r="BV635" s="21"/>
      <c r="BW635" s="21"/>
      <c r="BX635" s="21"/>
      <c r="BY635" s="21"/>
      <c r="BZ635" s="21"/>
      <c r="CA635" s="21"/>
      <c r="CB635" s="21"/>
      <c r="CC635" s="21"/>
      <c r="CD635" s="21"/>
      <c r="CE635" s="21"/>
      <c r="CF635" s="21"/>
      <c r="CG635" s="21"/>
      <c r="CH635" s="21"/>
      <c r="CI635" s="21"/>
      <c r="CJ635" s="21"/>
      <c r="CK635" s="21"/>
      <c r="CL635" s="21"/>
      <c r="CM635" s="21"/>
      <c r="CN635" s="21"/>
      <c r="CO635" s="21"/>
      <c r="CP635" s="21"/>
      <c r="CQ635" s="21"/>
      <c r="CR635" s="21"/>
      <c r="CS635" s="21"/>
      <c r="CT635" s="21"/>
      <c r="CU635" s="21"/>
      <c r="CV635" s="21"/>
      <c r="CW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1"/>
      <c r="CE636" s="21"/>
      <c r="CF636" s="21"/>
      <c r="CG636" s="21"/>
      <c r="CH636" s="21"/>
      <c r="CI636" s="21"/>
      <c r="CJ636" s="21"/>
      <c r="CK636" s="21"/>
      <c r="CL636" s="21"/>
      <c r="CM636" s="21"/>
      <c r="CN636" s="21"/>
      <c r="CO636" s="21"/>
      <c r="CP636" s="21"/>
      <c r="CQ636" s="21"/>
      <c r="CR636" s="21"/>
      <c r="CS636" s="21"/>
      <c r="CT636" s="21"/>
      <c r="CU636" s="21"/>
      <c r="CV636" s="21"/>
      <c r="CW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1"/>
      <c r="CE637" s="21"/>
      <c r="CF637" s="21"/>
      <c r="CG637" s="21"/>
      <c r="CH637" s="21"/>
      <c r="CI637" s="21"/>
      <c r="CJ637" s="21"/>
      <c r="CK637" s="21"/>
      <c r="CL637" s="21"/>
      <c r="CM637" s="21"/>
      <c r="CN637" s="21"/>
      <c r="CO637" s="21"/>
      <c r="CP637" s="21"/>
      <c r="CQ637" s="21"/>
      <c r="CR637" s="21"/>
      <c r="CS637" s="21"/>
      <c r="CT637" s="21"/>
      <c r="CU637" s="21"/>
      <c r="CV637" s="21"/>
      <c r="CW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  <c r="CA638" s="21"/>
      <c r="CB638" s="21"/>
      <c r="CC638" s="21"/>
      <c r="CD638" s="21"/>
      <c r="CE638" s="21"/>
      <c r="CF638" s="21"/>
      <c r="CG638" s="21"/>
      <c r="CH638" s="21"/>
      <c r="CI638" s="21"/>
      <c r="CJ638" s="21"/>
      <c r="CK638" s="21"/>
      <c r="CL638" s="21"/>
      <c r="CM638" s="21"/>
      <c r="CN638" s="21"/>
      <c r="CO638" s="21"/>
      <c r="CP638" s="21"/>
      <c r="CQ638" s="21"/>
      <c r="CR638" s="21"/>
      <c r="CS638" s="21"/>
      <c r="CT638" s="21"/>
      <c r="CU638" s="21"/>
      <c r="CV638" s="21"/>
      <c r="CW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21"/>
      <c r="BT639" s="21"/>
      <c r="BU639" s="21"/>
      <c r="BV639" s="21"/>
      <c r="BW639" s="21"/>
      <c r="BX639" s="21"/>
      <c r="BY639" s="21"/>
      <c r="BZ639" s="21"/>
      <c r="CA639" s="21"/>
      <c r="CB639" s="21"/>
      <c r="CC639" s="21"/>
      <c r="CD639" s="21"/>
      <c r="CE639" s="21"/>
      <c r="CF639" s="21"/>
      <c r="CG639" s="21"/>
      <c r="CH639" s="21"/>
      <c r="CI639" s="21"/>
      <c r="CJ639" s="21"/>
      <c r="CK639" s="21"/>
      <c r="CL639" s="21"/>
      <c r="CM639" s="21"/>
      <c r="CN639" s="21"/>
      <c r="CO639" s="21"/>
      <c r="CP639" s="21"/>
      <c r="CQ639" s="21"/>
      <c r="CR639" s="21"/>
      <c r="CS639" s="21"/>
      <c r="CT639" s="21"/>
      <c r="CU639" s="21"/>
      <c r="CV639" s="21"/>
      <c r="CW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21"/>
      <c r="BT640" s="21"/>
      <c r="BU640" s="21"/>
      <c r="BV640" s="21"/>
      <c r="BW640" s="21"/>
      <c r="BX640" s="21"/>
      <c r="BY640" s="21"/>
      <c r="BZ640" s="21"/>
      <c r="CA640" s="21"/>
      <c r="CB640" s="21"/>
      <c r="CC640" s="21"/>
      <c r="CD640" s="21"/>
      <c r="CE640" s="21"/>
      <c r="CF640" s="21"/>
      <c r="CG640" s="21"/>
      <c r="CH640" s="21"/>
      <c r="CI640" s="21"/>
      <c r="CJ640" s="21"/>
      <c r="CK640" s="21"/>
      <c r="CL640" s="21"/>
      <c r="CM640" s="21"/>
      <c r="CN640" s="21"/>
      <c r="CO640" s="21"/>
      <c r="CP640" s="21"/>
      <c r="CQ640" s="21"/>
      <c r="CR640" s="21"/>
      <c r="CS640" s="21"/>
      <c r="CT640" s="21"/>
      <c r="CU640" s="21"/>
      <c r="CV640" s="21"/>
      <c r="CW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21"/>
      <c r="BT641" s="21"/>
      <c r="BU641" s="21"/>
      <c r="BV641" s="21"/>
      <c r="BW641" s="21"/>
      <c r="BX641" s="21"/>
      <c r="BY641" s="21"/>
      <c r="BZ641" s="21"/>
      <c r="CA641" s="21"/>
      <c r="CB641" s="21"/>
      <c r="CC641" s="21"/>
      <c r="CD641" s="21"/>
      <c r="CE641" s="21"/>
      <c r="CF641" s="21"/>
      <c r="CG641" s="21"/>
      <c r="CH641" s="21"/>
      <c r="CI641" s="21"/>
      <c r="CJ641" s="21"/>
      <c r="CK641" s="21"/>
      <c r="CL641" s="21"/>
      <c r="CM641" s="21"/>
      <c r="CN641" s="21"/>
      <c r="CO641" s="21"/>
      <c r="CP641" s="21"/>
      <c r="CQ641" s="21"/>
      <c r="CR641" s="21"/>
      <c r="CS641" s="21"/>
      <c r="CT641" s="21"/>
      <c r="CU641" s="21"/>
      <c r="CV641" s="21"/>
      <c r="CW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  <c r="CA642" s="21"/>
      <c r="CB642" s="21"/>
      <c r="CC642" s="21"/>
      <c r="CD642" s="21"/>
      <c r="CE642" s="21"/>
      <c r="CF642" s="21"/>
      <c r="CG642" s="21"/>
      <c r="CH642" s="21"/>
      <c r="CI642" s="21"/>
      <c r="CJ642" s="21"/>
      <c r="CK642" s="21"/>
      <c r="CL642" s="21"/>
      <c r="CM642" s="21"/>
      <c r="CN642" s="21"/>
      <c r="CO642" s="21"/>
      <c r="CP642" s="21"/>
      <c r="CQ642" s="21"/>
      <c r="CR642" s="21"/>
      <c r="CS642" s="21"/>
      <c r="CT642" s="21"/>
      <c r="CU642" s="21"/>
      <c r="CV642" s="21"/>
      <c r="CW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21"/>
      <c r="BT643" s="21"/>
      <c r="BU643" s="21"/>
      <c r="BV643" s="21"/>
      <c r="BW643" s="21"/>
      <c r="BX643" s="21"/>
      <c r="BY643" s="21"/>
      <c r="BZ643" s="21"/>
      <c r="CA643" s="21"/>
      <c r="CB643" s="21"/>
      <c r="CC643" s="21"/>
      <c r="CD643" s="21"/>
      <c r="CE643" s="21"/>
      <c r="CF643" s="21"/>
      <c r="CG643" s="21"/>
      <c r="CH643" s="21"/>
      <c r="CI643" s="21"/>
      <c r="CJ643" s="21"/>
      <c r="CK643" s="21"/>
      <c r="CL643" s="21"/>
      <c r="CM643" s="21"/>
      <c r="CN643" s="21"/>
      <c r="CO643" s="21"/>
      <c r="CP643" s="21"/>
      <c r="CQ643" s="21"/>
      <c r="CR643" s="21"/>
      <c r="CS643" s="21"/>
      <c r="CT643" s="21"/>
      <c r="CU643" s="21"/>
      <c r="CV643" s="21"/>
      <c r="CW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BX644" s="21"/>
      <c r="BY644" s="21"/>
      <c r="BZ644" s="21"/>
      <c r="CA644" s="21"/>
      <c r="CB644" s="21"/>
      <c r="CC644" s="21"/>
      <c r="CD644" s="21"/>
      <c r="CE644" s="21"/>
      <c r="CF644" s="21"/>
      <c r="CG644" s="21"/>
      <c r="CH644" s="21"/>
      <c r="CI644" s="21"/>
      <c r="CJ644" s="21"/>
      <c r="CK644" s="21"/>
      <c r="CL644" s="21"/>
      <c r="CM644" s="21"/>
      <c r="CN644" s="21"/>
      <c r="CO644" s="21"/>
      <c r="CP644" s="21"/>
      <c r="CQ644" s="21"/>
      <c r="CR644" s="21"/>
      <c r="CS644" s="21"/>
      <c r="CT644" s="21"/>
      <c r="CU644" s="21"/>
      <c r="CV644" s="21"/>
      <c r="CW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  <c r="CA645" s="21"/>
      <c r="CB645" s="21"/>
      <c r="CC645" s="21"/>
      <c r="CD645" s="21"/>
      <c r="CE645" s="21"/>
      <c r="CF645" s="21"/>
      <c r="CG645" s="21"/>
      <c r="CH645" s="21"/>
      <c r="CI645" s="21"/>
      <c r="CJ645" s="21"/>
      <c r="CK645" s="21"/>
      <c r="CL645" s="21"/>
      <c r="CM645" s="21"/>
      <c r="CN645" s="21"/>
      <c r="CO645" s="21"/>
      <c r="CP645" s="21"/>
      <c r="CQ645" s="21"/>
      <c r="CR645" s="21"/>
      <c r="CS645" s="21"/>
      <c r="CT645" s="21"/>
      <c r="CU645" s="21"/>
      <c r="CV645" s="21"/>
      <c r="CW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  <c r="CA646" s="21"/>
      <c r="CB646" s="21"/>
      <c r="CC646" s="21"/>
      <c r="CD646" s="21"/>
      <c r="CE646" s="21"/>
      <c r="CF646" s="21"/>
      <c r="CG646" s="21"/>
      <c r="CH646" s="21"/>
      <c r="CI646" s="21"/>
      <c r="CJ646" s="21"/>
      <c r="CK646" s="21"/>
      <c r="CL646" s="21"/>
      <c r="CM646" s="21"/>
      <c r="CN646" s="21"/>
      <c r="CO646" s="21"/>
      <c r="CP646" s="21"/>
      <c r="CQ646" s="21"/>
      <c r="CR646" s="21"/>
      <c r="CS646" s="21"/>
      <c r="CT646" s="21"/>
      <c r="CU646" s="21"/>
      <c r="CV646" s="21"/>
      <c r="CW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BW647" s="21"/>
      <c r="BX647" s="21"/>
      <c r="BY647" s="21"/>
      <c r="BZ647" s="21"/>
      <c r="CA647" s="21"/>
      <c r="CB647" s="21"/>
      <c r="CC647" s="21"/>
      <c r="CD647" s="21"/>
      <c r="CE647" s="21"/>
      <c r="CF647" s="21"/>
      <c r="CG647" s="21"/>
      <c r="CH647" s="21"/>
      <c r="CI647" s="21"/>
      <c r="CJ647" s="21"/>
      <c r="CK647" s="21"/>
      <c r="CL647" s="21"/>
      <c r="CM647" s="21"/>
      <c r="CN647" s="21"/>
      <c r="CO647" s="21"/>
      <c r="CP647" s="21"/>
      <c r="CQ647" s="21"/>
      <c r="CR647" s="21"/>
      <c r="CS647" s="21"/>
      <c r="CT647" s="21"/>
      <c r="CU647" s="21"/>
      <c r="CV647" s="21"/>
      <c r="CW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/>
      <c r="CA648" s="21"/>
      <c r="CB648" s="21"/>
      <c r="CC648" s="21"/>
      <c r="CD648" s="21"/>
      <c r="CE648" s="21"/>
      <c r="CF648" s="21"/>
      <c r="CG648" s="21"/>
      <c r="CH648" s="21"/>
      <c r="CI648" s="21"/>
      <c r="CJ648" s="21"/>
      <c r="CK648" s="21"/>
      <c r="CL648" s="21"/>
      <c r="CM648" s="21"/>
      <c r="CN648" s="21"/>
      <c r="CO648" s="21"/>
      <c r="CP648" s="21"/>
      <c r="CQ648" s="21"/>
      <c r="CR648" s="21"/>
      <c r="CS648" s="21"/>
      <c r="CT648" s="21"/>
      <c r="CU648" s="21"/>
      <c r="CV648" s="21"/>
      <c r="CW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21"/>
      <c r="BT649" s="21"/>
      <c r="BU649" s="21"/>
      <c r="BV649" s="21"/>
      <c r="BW649" s="21"/>
      <c r="BX649" s="21"/>
      <c r="BY649" s="21"/>
      <c r="BZ649" s="21"/>
      <c r="CA649" s="21"/>
      <c r="CB649" s="21"/>
      <c r="CC649" s="21"/>
      <c r="CD649" s="21"/>
      <c r="CE649" s="21"/>
      <c r="CF649" s="21"/>
      <c r="CG649" s="21"/>
      <c r="CH649" s="21"/>
      <c r="CI649" s="21"/>
      <c r="CJ649" s="21"/>
      <c r="CK649" s="21"/>
      <c r="CL649" s="21"/>
      <c r="CM649" s="21"/>
      <c r="CN649" s="21"/>
      <c r="CO649" s="21"/>
      <c r="CP649" s="21"/>
      <c r="CQ649" s="21"/>
      <c r="CR649" s="21"/>
      <c r="CS649" s="21"/>
      <c r="CT649" s="21"/>
      <c r="CU649" s="21"/>
      <c r="CV649" s="21"/>
      <c r="CW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  <c r="CA650" s="21"/>
      <c r="CB650" s="21"/>
      <c r="CC650" s="21"/>
      <c r="CD650" s="21"/>
      <c r="CE650" s="21"/>
      <c r="CF650" s="21"/>
      <c r="CG650" s="21"/>
      <c r="CH650" s="21"/>
      <c r="CI650" s="21"/>
      <c r="CJ650" s="21"/>
      <c r="CK650" s="21"/>
      <c r="CL650" s="21"/>
      <c r="CM650" s="21"/>
      <c r="CN650" s="21"/>
      <c r="CO650" s="21"/>
      <c r="CP650" s="21"/>
      <c r="CQ650" s="21"/>
      <c r="CR650" s="21"/>
      <c r="CS650" s="21"/>
      <c r="CT650" s="21"/>
      <c r="CU650" s="21"/>
      <c r="CV650" s="21"/>
      <c r="CW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21"/>
      <c r="BT651" s="21"/>
      <c r="BU651" s="21"/>
      <c r="BV651" s="21"/>
      <c r="BW651" s="21"/>
      <c r="BX651" s="21"/>
      <c r="BY651" s="21"/>
      <c r="BZ651" s="21"/>
      <c r="CA651" s="21"/>
      <c r="CB651" s="21"/>
      <c r="CC651" s="21"/>
      <c r="CD651" s="21"/>
      <c r="CE651" s="21"/>
      <c r="CF651" s="21"/>
      <c r="CG651" s="21"/>
      <c r="CH651" s="21"/>
      <c r="CI651" s="21"/>
      <c r="CJ651" s="21"/>
      <c r="CK651" s="21"/>
      <c r="CL651" s="21"/>
      <c r="CM651" s="21"/>
      <c r="CN651" s="21"/>
      <c r="CO651" s="21"/>
      <c r="CP651" s="21"/>
      <c r="CQ651" s="21"/>
      <c r="CR651" s="21"/>
      <c r="CS651" s="21"/>
      <c r="CT651" s="21"/>
      <c r="CU651" s="21"/>
      <c r="CV651" s="21"/>
      <c r="CW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21"/>
      <c r="BT652" s="21"/>
      <c r="BU652" s="21"/>
      <c r="BV652" s="21"/>
      <c r="BW652" s="21"/>
      <c r="BX652" s="21"/>
      <c r="BY652" s="21"/>
      <c r="BZ652" s="21"/>
      <c r="CA652" s="21"/>
      <c r="CB652" s="21"/>
      <c r="CC652" s="21"/>
      <c r="CD652" s="21"/>
      <c r="CE652" s="21"/>
      <c r="CF652" s="21"/>
      <c r="CG652" s="21"/>
      <c r="CH652" s="21"/>
      <c r="CI652" s="21"/>
      <c r="CJ652" s="21"/>
      <c r="CK652" s="21"/>
      <c r="CL652" s="21"/>
      <c r="CM652" s="21"/>
      <c r="CN652" s="21"/>
      <c r="CO652" s="21"/>
      <c r="CP652" s="21"/>
      <c r="CQ652" s="21"/>
      <c r="CR652" s="21"/>
      <c r="CS652" s="21"/>
      <c r="CT652" s="21"/>
      <c r="CU652" s="21"/>
      <c r="CV652" s="21"/>
      <c r="CW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21"/>
      <c r="BT653" s="21"/>
      <c r="BU653" s="21"/>
      <c r="BV653" s="21"/>
      <c r="BW653" s="21"/>
      <c r="BX653" s="21"/>
      <c r="BY653" s="21"/>
      <c r="BZ653" s="21"/>
      <c r="CA653" s="21"/>
      <c r="CB653" s="21"/>
      <c r="CC653" s="21"/>
      <c r="CD653" s="21"/>
      <c r="CE653" s="21"/>
      <c r="CF653" s="21"/>
      <c r="CG653" s="21"/>
      <c r="CH653" s="21"/>
      <c r="CI653" s="21"/>
      <c r="CJ653" s="21"/>
      <c r="CK653" s="21"/>
      <c r="CL653" s="21"/>
      <c r="CM653" s="21"/>
      <c r="CN653" s="21"/>
      <c r="CO653" s="21"/>
      <c r="CP653" s="21"/>
      <c r="CQ653" s="21"/>
      <c r="CR653" s="21"/>
      <c r="CS653" s="21"/>
      <c r="CT653" s="21"/>
      <c r="CU653" s="21"/>
      <c r="CV653" s="21"/>
      <c r="CW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21"/>
      <c r="BT654" s="21"/>
      <c r="BU654" s="21"/>
      <c r="BV654" s="21"/>
      <c r="BW654" s="21"/>
      <c r="BX654" s="21"/>
      <c r="BY654" s="21"/>
      <c r="BZ654" s="21"/>
      <c r="CA654" s="21"/>
      <c r="CB654" s="21"/>
      <c r="CC654" s="21"/>
      <c r="CD654" s="21"/>
      <c r="CE654" s="21"/>
      <c r="CF654" s="21"/>
      <c r="CG654" s="21"/>
      <c r="CH654" s="21"/>
      <c r="CI654" s="21"/>
      <c r="CJ654" s="21"/>
      <c r="CK654" s="21"/>
      <c r="CL654" s="21"/>
      <c r="CM654" s="21"/>
      <c r="CN654" s="21"/>
      <c r="CO654" s="21"/>
      <c r="CP654" s="21"/>
      <c r="CQ654" s="21"/>
      <c r="CR654" s="21"/>
      <c r="CS654" s="21"/>
      <c r="CT654" s="21"/>
      <c r="CU654" s="21"/>
      <c r="CV654" s="21"/>
      <c r="CW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21"/>
      <c r="BT655" s="21"/>
      <c r="BU655" s="21"/>
      <c r="BV655" s="21"/>
      <c r="BW655" s="21"/>
      <c r="BX655" s="21"/>
      <c r="BY655" s="21"/>
      <c r="BZ655" s="21"/>
      <c r="CA655" s="21"/>
      <c r="CB655" s="21"/>
      <c r="CC655" s="21"/>
      <c r="CD655" s="21"/>
      <c r="CE655" s="21"/>
      <c r="CF655" s="21"/>
      <c r="CG655" s="21"/>
      <c r="CH655" s="21"/>
      <c r="CI655" s="21"/>
      <c r="CJ655" s="21"/>
      <c r="CK655" s="21"/>
      <c r="CL655" s="21"/>
      <c r="CM655" s="21"/>
      <c r="CN655" s="21"/>
      <c r="CO655" s="21"/>
      <c r="CP655" s="21"/>
      <c r="CQ655" s="21"/>
      <c r="CR655" s="21"/>
      <c r="CS655" s="21"/>
      <c r="CT655" s="21"/>
      <c r="CU655" s="21"/>
      <c r="CV655" s="21"/>
      <c r="CW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21"/>
      <c r="BT656" s="21"/>
      <c r="BU656" s="21"/>
      <c r="BV656" s="21"/>
      <c r="BW656" s="21"/>
      <c r="BX656" s="21"/>
      <c r="BY656" s="21"/>
      <c r="BZ656" s="21"/>
      <c r="CA656" s="21"/>
      <c r="CB656" s="21"/>
      <c r="CC656" s="21"/>
      <c r="CD656" s="21"/>
      <c r="CE656" s="21"/>
      <c r="CF656" s="21"/>
      <c r="CG656" s="21"/>
      <c r="CH656" s="21"/>
      <c r="CI656" s="21"/>
      <c r="CJ656" s="21"/>
      <c r="CK656" s="21"/>
      <c r="CL656" s="21"/>
      <c r="CM656" s="21"/>
      <c r="CN656" s="21"/>
      <c r="CO656" s="21"/>
      <c r="CP656" s="21"/>
      <c r="CQ656" s="21"/>
      <c r="CR656" s="21"/>
      <c r="CS656" s="21"/>
      <c r="CT656" s="21"/>
      <c r="CU656" s="21"/>
      <c r="CV656" s="21"/>
      <c r="CW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21"/>
      <c r="BT657" s="21"/>
      <c r="BU657" s="21"/>
      <c r="BV657" s="21"/>
      <c r="BW657" s="21"/>
      <c r="BX657" s="21"/>
      <c r="BY657" s="21"/>
      <c r="BZ657" s="21"/>
      <c r="CA657" s="21"/>
      <c r="CB657" s="21"/>
      <c r="CC657" s="21"/>
      <c r="CD657" s="21"/>
      <c r="CE657" s="21"/>
      <c r="CF657" s="21"/>
      <c r="CG657" s="21"/>
      <c r="CH657" s="21"/>
      <c r="CI657" s="21"/>
      <c r="CJ657" s="21"/>
      <c r="CK657" s="21"/>
      <c r="CL657" s="21"/>
      <c r="CM657" s="21"/>
      <c r="CN657" s="21"/>
      <c r="CO657" s="21"/>
      <c r="CP657" s="21"/>
      <c r="CQ657" s="21"/>
      <c r="CR657" s="21"/>
      <c r="CS657" s="21"/>
      <c r="CT657" s="21"/>
      <c r="CU657" s="21"/>
      <c r="CV657" s="21"/>
      <c r="CW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21"/>
      <c r="BT658" s="21"/>
      <c r="BU658" s="21"/>
      <c r="BV658" s="21"/>
      <c r="BW658" s="21"/>
      <c r="BX658" s="21"/>
      <c r="BY658" s="21"/>
      <c r="BZ658" s="21"/>
      <c r="CA658" s="21"/>
      <c r="CB658" s="21"/>
      <c r="CC658" s="21"/>
      <c r="CD658" s="21"/>
      <c r="CE658" s="21"/>
      <c r="CF658" s="21"/>
      <c r="CG658" s="21"/>
      <c r="CH658" s="21"/>
      <c r="CI658" s="21"/>
      <c r="CJ658" s="21"/>
      <c r="CK658" s="21"/>
      <c r="CL658" s="21"/>
      <c r="CM658" s="21"/>
      <c r="CN658" s="21"/>
      <c r="CO658" s="21"/>
      <c r="CP658" s="21"/>
      <c r="CQ658" s="21"/>
      <c r="CR658" s="21"/>
      <c r="CS658" s="21"/>
      <c r="CT658" s="21"/>
      <c r="CU658" s="21"/>
      <c r="CV658" s="21"/>
      <c r="CW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21"/>
      <c r="BT659" s="21"/>
      <c r="BU659" s="21"/>
      <c r="BV659" s="21"/>
      <c r="BW659" s="21"/>
      <c r="BX659" s="21"/>
      <c r="BY659" s="21"/>
      <c r="BZ659" s="21"/>
      <c r="CA659" s="21"/>
      <c r="CB659" s="21"/>
      <c r="CC659" s="21"/>
      <c r="CD659" s="21"/>
      <c r="CE659" s="21"/>
      <c r="CF659" s="21"/>
      <c r="CG659" s="21"/>
      <c r="CH659" s="21"/>
      <c r="CI659" s="21"/>
      <c r="CJ659" s="21"/>
      <c r="CK659" s="21"/>
      <c r="CL659" s="21"/>
      <c r="CM659" s="21"/>
      <c r="CN659" s="21"/>
      <c r="CO659" s="21"/>
      <c r="CP659" s="21"/>
      <c r="CQ659" s="21"/>
      <c r="CR659" s="21"/>
      <c r="CS659" s="21"/>
      <c r="CT659" s="21"/>
      <c r="CU659" s="21"/>
      <c r="CV659" s="21"/>
      <c r="CW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21"/>
      <c r="BT660" s="21"/>
      <c r="BU660" s="21"/>
      <c r="BV660" s="21"/>
      <c r="BW660" s="21"/>
      <c r="BX660" s="21"/>
      <c r="BY660" s="21"/>
      <c r="BZ660" s="21"/>
      <c r="CA660" s="21"/>
      <c r="CB660" s="21"/>
      <c r="CC660" s="21"/>
      <c r="CD660" s="21"/>
      <c r="CE660" s="21"/>
      <c r="CF660" s="21"/>
      <c r="CG660" s="21"/>
      <c r="CH660" s="21"/>
      <c r="CI660" s="21"/>
      <c r="CJ660" s="21"/>
      <c r="CK660" s="21"/>
      <c r="CL660" s="21"/>
      <c r="CM660" s="21"/>
      <c r="CN660" s="21"/>
      <c r="CO660" s="21"/>
      <c r="CP660" s="21"/>
      <c r="CQ660" s="21"/>
      <c r="CR660" s="21"/>
      <c r="CS660" s="21"/>
      <c r="CT660" s="21"/>
      <c r="CU660" s="21"/>
      <c r="CV660" s="21"/>
      <c r="CW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21"/>
      <c r="BT661" s="21"/>
      <c r="BU661" s="21"/>
      <c r="BV661" s="21"/>
      <c r="BW661" s="21"/>
      <c r="BX661" s="21"/>
      <c r="BY661" s="21"/>
      <c r="BZ661" s="21"/>
      <c r="CA661" s="21"/>
      <c r="CB661" s="21"/>
      <c r="CC661" s="21"/>
      <c r="CD661" s="21"/>
      <c r="CE661" s="21"/>
      <c r="CF661" s="21"/>
      <c r="CG661" s="21"/>
      <c r="CH661" s="21"/>
      <c r="CI661" s="21"/>
      <c r="CJ661" s="21"/>
      <c r="CK661" s="21"/>
      <c r="CL661" s="21"/>
      <c r="CM661" s="21"/>
      <c r="CN661" s="21"/>
      <c r="CO661" s="21"/>
      <c r="CP661" s="21"/>
      <c r="CQ661" s="21"/>
      <c r="CR661" s="21"/>
      <c r="CS661" s="21"/>
      <c r="CT661" s="21"/>
      <c r="CU661" s="21"/>
      <c r="CV661" s="21"/>
      <c r="CW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21"/>
      <c r="BT662" s="21"/>
      <c r="BU662" s="21"/>
      <c r="BV662" s="21"/>
      <c r="BW662" s="21"/>
      <c r="BX662" s="21"/>
      <c r="BY662" s="21"/>
      <c r="BZ662" s="21"/>
      <c r="CA662" s="21"/>
      <c r="CB662" s="21"/>
      <c r="CC662" s="21"/>
      <c r="CD662" s="21"/>
      <c r="CE662" s="21"/>
      <c r="CF662" s="21"/>
      <c r="CG662" s="21"/>
      <c r="CH662" s="21"/>
      <c r="CI662" s="21"/>
      <c r="CJ662" s="21"/>
      <c r="CK662" s="21"/>
      <c r="CL662" s="21"/>
      <c r="CM662" s="21"/>
      <c r="CN662" s="21"/>
      <c r="CO662" s="21"/>
      <c r="CP662" s="21"/>
      <c r="CQ662" s="21"/>
      <c r="CR662" s="21"/>
      <c r="CS662" s="21"/>
      <c r="CT662" s="21"/>
      <c r="CU662" s="21"/>
      <c r="CV662" s="21"/>
      <c r="CW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21"/>
      <c r="BT663" s="21"/>
      <c r="BU663" s="21"/>
      <c r="BV663" s="21"/>
      <c r="BW663" s="21"/>
      <c r="BX663" s="21"/>
      <c r="BY663" s="21"/>
      <c r="BZ663" s="21"/>
      <c r="CA663" s="21"/>
      <c r="CB663" s="21"/>
      <c r="CC663" s="21"/>
      <c r="CD663" s="21"/>
      <c r="CE663" s="21"/>
      <c r="CF663" s="21"/>
      <c r="CG663" s="21"/>
      <c r="CH663" s="21"/>
      <c r="CI663" s="21"/>
      <c r="CJ663" s="21"/>
      <c r="CK663" s="21"/>
      <c r="CL663" s="21"/>
      <c r="CM663" s="21"/>
      <c r="CN663" s="21"/>
      <c r="CO663" s="21"/>
      <c r="CP663" s="21"/>
      <c r="CQ663" s="21"/>
      <c r="CR663" s="21"/>
      <c r="CS663" s="21"/>
      <c r="CT663" s="21"/>
      <c r="CU663" s="21"/>
      <c r="CV663" s="21"/>
      <c r="CW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21"/>
      <c r="BT664" s="21"/>
      <c r="BU664" s="21"/>
      <c r="BV664" s="21"/>
      <c r="BW664" s="21"/>
      <c r="BX664" s="21"/>
      <c r="BY664" s="21"/>
      <c r="BZ664" s="21"/>
      <c r="CA664" s="21"/>
      <c r="CB664" s="21"/>
      <c r="CC664" s="21"/>
      <c r="CD664" s="21"/>
      <c r="CE664" s="21"/>
      <c r="CF664" s="21"/>
      <c r="CG664" s="21"/>
      <c r="CH664" s="21"/>
      <c r="CI664" s="21"/>
      <c r="CJ664" s="21"/>
      <c r="CK664" s="21"/>
      <c r="CL664" s="21"/>
      <c r="CM664" s="21"/>
      <c r="CN664" s="21"/>
      <c r="CO664" s="21"/>
      <c r="CP664" s="21"/>
      <c r="CQ664" s="21"/>
      <c r="CR664" s="21"/>
      <c r="CS664" s="21"/>
      <c r="CT664" s="21"/>
      <c r="CU664" s="21"/>
      <c r="CV664" s="21"/>
      <c r="CW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21"/>
      <c r="BT665" s="21"/>
      <c r="BU665" s="21"/>
      <c r="BV665" s="21"/>
      <c r="BW665" s="21"/>
      <c r="BX665" s="21"/>
      <c r="BY665" s="21"/>
      <c r="BZ665" s="21"/>
      <c r="CA665" s="21"/>
      <c r="CB665" s="21"/>
      <c r="CC665" s="21"/>
      <c r="CD665" s="21"/>
      <c r="CE665" s="21"/>
      <c r="CF665" s="21"/>
      <c r="CG665" s="21"/>
      <c r="CH665" s="21"/>
      <c r="CI665" s="21"/>
      <c r="CJ665" s="21"/>
      <c r="CK665" s="21"/>
      <c r="CL665" s="21"/>
      <c r="CM665" s="21"/>
      <c r="CN665" s="21"/>
      <c r="CO665" s="21"/>
      <c r="CP665" s="21"/>
      <c r="CQ665" s="21"/>
      <c r="CR665" s="21"/>
      <c r="CS665" s="21"/>
      <c r="CT665" s="21"/>
      <c r="CU665" s="21"/>
      <c r="CV665" s="21"/>
      <c r="CW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21"/>
      <c r="BT666" s="21"/>
      <c r="BU666" s="21"/>
      <c r="BV666" s="21"/>
      <c r="BW666" s="21"/>
      <c r="BX666" s="21"/>
      <c r="BY666" s="21"/>
      <c r="BZ666" s="21"/>
      <c r="CA666" s="21"/>
      <c r="CB666" s="21"/>
      <c r="CC666" s="21"/>
      <c r="CD666" s="21"/>
      <c r="CE666" s="21"/>
      <c r="CF666" s="21"/>
      <c r="CG666" s="21"/>
      <c r="CH666" s="21"/>
      <c r="CI666" s="21"/>
      <c r="CJ666" s="21"/>
      <c r="CK666" s="21"/>
      <c r="CL666" s="21"/>
      <c r="CM666" s="21"/>
      <c r="CN666" s="21"/>
      <c r="CO666" s="21"/>
      <c r="CP666" s="21"/>
      <c r="CQ666" s="21"/>
      <c r="CR666" s="21"/>
      <c r="CS666" s="21"/>
      <c r="CT666" s="21"/>
      <c r="CU666" s="21"/>
      <c r="CV666" s="21"/>
      <c r="CW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21"/>
      <c r="BT667" s="21"/>
      <c r="BU667" s="21"/>
      <c r="BV667" s="21"/>
      <c r="BW667" s="21"/>
      <c r="BX667" s="21"/>
      <c r="BY667" s="21"/>
      <c r="BZ667" s="21"/>
      <c r="CA667" s="21"/>
      <c r="CB667" s="21"/>
      <c r="CC667" s="21"/>
      <c r="CD667" s="21"/>
      <c r="CE667" s="21"/>
      <c r="CF667" s="21"/>
      <c r="CG667" s="21"/>
      <c r="CH667" s="21"/>
      <c r="CI667" s="21"/>
      <c r="CJ667" s="21"/>
      <c r="CK667" s="21"/>
      <c r="CL667" s="21"/>
      <c r="CM667" s="21"/>
      <c r="CN667" s="21"/>
      <c r="CO667" s="21"/>
      <c r="CP667" s="21"/>
      <c r="CQ667" s="21"/>
      <c r="CR667" s="21"/>
      <c r="CS667" s="21"/>
      <c r="CT667" s="21"/>
      <c r="CU667" s="21"/>
      <c r="CV667" s="21"/>
      <c r="CW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21"/>
      <c r="BT668" s="21"/>
      <c r="BU668" s="21"/>
      <c r="BV668" s="21"/>
      <c r="BW668" s="21"/>
      <c r="BX668" s="21"/>
      <c r="BY668" s="21"/>
      <c r="BZ668" s="21"/>
      <c r="CA668" s="21"/>
      <c r="CB668" s="21"/>
      <c r="CC668" s="21"/>
      <c r="CD668" s="21"/>
      <c r="CE668" s="21"/>
      <c r="CF668" s="21"/>
      <c r="CG668" s="21"/>
      <c r="CH668" s="21"/>
      <c r="CI668" s="21"/>
      <c r="CJ668" s="21"/>
      <c r="CK668" s="21"/>
      <c r="CL668" s="21"/>
      <c r="CM668" s="21"/>
      <c r="CN668" s="21"/>
      <c r="CO668" s="21"/>
      <c r="CP668" s="21"/>
      <c r="CQ668" s="21"/>
      <c r="CR668" s="21"/>
      <c r="CS668" s="21"/>
      <c r="CT668" s="21"/>
      <c r="CU668" s="21"/>
      <c r="CV668" s="21"/>
      <c r="CW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21"/>
      <c r="BT669" s="21"/>
      <c r="BU669" s="21"/>
      <c r="BV669" s="21"/>
      <c r="BW669" s="21"/>
      <c r="BX669" s="21"/>
      <c r="BY669" s="21"/>
      <c r="BZ669" s="21"/>
      <c r="CA669" s="21"/>
      <c r="CB669" s="21"/>
      <c r="CC669" s="21"/>
      <c r="CD669" s="21"/>
      <c r="CE669" s="21"/>
      <c r="CF669" s="21"/>
      <c r="CG669" s="21"/>
      <c r="CH669" s="21"/>
      <c r="CI669" s="21"/>
      <c r="CJ669" s="21"/>
      <c r="CK669" s="21"/>
      <c r="CL669" s="21"/>
      <c r="CM669" s="21"/>
      <c r="CN669" s="21"/>
      <c r="CO669" s="21"/>
      <c r="CP669" s="21"/>
      <c r="CQ669" s="21"/>
      <c r="CR669" s="21"/>
      <c r="CS669" s="21"/>
      <c r="CT669" s="21"/>
      <c r="CU669" s="21"/>
      <c r="CV669" s="21"/>
      <c r="CW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21"/>
      <c r="BT670" s="21"/>
      <c r="BU670" s="21"/>
      <c r="BV670" s="21"/>
      <c r="BW670" s="21"/>
      <c r="BX670" s="21"/>
      <c r="BY670" s="21"/>
      <c r="BZ670" s="21"/>
      <c r="CA670" s="21"/>
      <c r="CB670" s="21"/>
      <c r="CC670" s="21"/>
      <c r="CD670" s="21"/>
      <c r="CE670" s="21"/>
      <c r="CF670" s="21"/>
      <c r="CG670" s="21"/>
      <c r="CH670" s="21"/>
      <c r="CI670" s="21"/>
      <c r="CJ670" s="21"/>
      <c r="CK670" s="21"/>
      <c r="CL670" s="21"/>
      <c r="CM670" s="21"/>
      <c r="CN670" s="21"/>
      <c r="CO670" s="21"/>
      <c r="CP670" s="21"/>
      <c r="CQ670" s="21"/>
      <c r="CR670" s="21"/>
      <c r="CS670" s="21"/>
      <c r="CT670" s="21"/>
      <c r="CU670" s="21"/>
      <c r="CV670" s="21"/>
      <c r="CW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21"/>
      <c r="BT671" s="21"/>
      <c r="BU671" s="21"/>
      <c r="BV671" s="21"/>
      <c r="BW671" s="21"/>
      <c r="BX671" s="21"/>
      <c r="BY671" s="21"/>
      <c r="BZ671" s="21"/>
      <c r="CA671" s="21"/>
      <c r="CB671" s="21"/>
      <c r="CC671" s="21"/>
      <c r="CD671" s="21"/>
      <c r="CE671" s="21"/>
      <c r="CF671" s="21"/>
      <c r="CG671" s="21"/>
      <c r="CH671" s="21"/>
      <c r="CI671" s="21"/>
      <c r="CJ671" s="21"/>
      <c r="CK671" s="21"/>
      <c r="CL671" s="21"/>
      <c r="CM671" s="21"/>
      <c r="CN671" s="21"/>
      <c r="CO671" s="21"/>
      <c r="CP671" s="21"/>
      <c r="CQ671" s="21"/>
      <c r="CR671" s="21"/>
      <c r="CS671" s="21"/>
      <c r="CT671" s="21"/>
      <c r="CU671" s="21"/>
      <c r="CV671" s="21"/>
      <c r="CW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21"/>
      <c r="BT672" s="21"/>
      <c r="BU672" s="21"/>
      <c r="BV672" s="21"/>
      <c r="BW672" s="21"/>
      <c r="BX672" s="21"/>
      <c r="BY672" s="21"/>
      <c r="BZ672" s="21"/>
      <c r="CA672" s="21"/>
      <c r="CB672" s="21"/>
      <c r="CC672" s="21"/>
      <c r="CD672" s="21"/>
      <c r="CE672" s="21"/>
      <c r="CF672" s="21"/>
      <c r="CG672" s="21"/>
      <c r="CH672" s="21"/>
      <c r="CI672" s="21"/>
      <c r="CJ672" s="21"/>
      <c r="CK672" s="21"/>
      <c r="CL672" s="21"/>
      <c r="CM672" s="21"/>
      <c r="CN672" s="21"/>
      <c r="CO672" s="21"/>
      <c r="CP672" s="21"/>
      <c r="CQ672" s="21"/>
      <c r="CR672" s="21"/>
      <c r="CS672" s="21"/>
      <c r="CT672" s="21"/>
      <c r="CU672" s="21"/>
      <c r="CV672" s="21"/>
      <c r="CW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21"/>
      <c r="BT673" s="21"/>
      <c r="BU673" s="21"/>
      <c r="BV673" s="21"/>
      <c r="BW673" s="21"/>
      <c r="BX673" s="21"/>
      <c r="BY673" s="21"/>
      <c r="BZ673" s="21"/>
      <c r="CA673" s="21"/>
      <c r="CB673" s="21"/>
      <c r="CC673" s="21"/>
      <c r="CD673" s="21"/>
      <c r="CE673" s="21"/>
      <c r="CF673" s="21"/>
      <c r="CG673" s="21"/>
      <c r="CH673" s="21"/>
      <c r="CI673" s="21"/>
      <c r="CJ673" s="21"/>
      <c r="CK673" s="21"/>
      <c r="CL673" s="21"/>
      <c r="CM673" s="21"/>
      <c r="CN673" s="21"/>
      <c r="CO673" s="21"/>
      <c r="CP673" s="21"/>
      <c r="CQ673" s="21"/>
      <c r="CR673" s="21"/>
      <c r="CS673" s="21"/>
      <c r="CT673" s="21"/>
      <c r="CU673" s="21"/>
      <c r="CV673" s="21"/>
      <c r="CW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21"/>
      <c r="BT674" s="21"/>
      <c r="BU674" s="21"/>
      <c r="BV674" s="21"/>
      <c r="BW674" s="21"/>
      <c r="BX674" s="21"/>
      <c r="BY674" s="21"/>
      <c r="BZ674" s="21"/>
      <c r="CA674" s="21"/>
      <c r="CB674" s="21"/>
      <c r="CC674" s="21"/>
      <c r="CD674" s="21"/>
      <c r="CE674" s="21"/>
      <c r="CF674" s="21"/>
      <c r="CG674" s="21"/>
      <c r="CH674" s="21"/>
      <c r="CI674" s="21"/>
      <c r="CJ674" s="21"/>
      <c r="CK674" s="21"/>
      <c r="CL674" s="21"/>
      <c r="CM674" s="21"/>
      <c r="CN674" s="21"/>
      <c r="CO674" s="21"/>
      <c r="CP674" s="21"/>
      <c r="CQ674" s="21"/>
      <c r="CR674" s="21"/>
      <c r="CS674" s="21"/>
      <c r="CT674" s="21"/>
      <c r="CU674" s="21"/>
      <c r="CV674" s="21"/>
      <c r="CW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21"/>
      <c r="BT675" s="21"/>
      <c r="BU675" s="21"/>
      <c r="BV675" s="21"/>
      <c r="BW675" s="21"/>
      <c r="BX675" s="21"/>
      <c r="BY675" s="21"/>
      <c r="BZ675" s="21"/>
      <c r="CA675" s="21"/>
      <c r="CB675" s="21"/>
      <c r="CC675" s="21"/>
      <c r="CD675" s="21"/>
      <c r="CE675" s="21"/>
      <c r="CF675" s="21"/>
      <c r="CG675" s="21"/>
      <c r="CH675" s="21"/>
      <c r="CI675" s="21"/>
      <c r="CJ675" s="21"/>
      <c r="CK675" s="21"/>
      <c r="CL675" s="21"/>
      <c r="CM675" s="21"/>
      <c r="CN675" s="21"/>
      <c r="CO675" s="21"/>
      <c r="CP675" s="21"/>
      <c r="CQ675" s="21"/>
      <c r="CR675" s="21"/>
      <c r="CS675" s="21"/>
      <c r="CT675" s="21"/>
      <c r="CU675" s="21"/>
      <c r="CV675" s="21"/>
      <c r="CW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21"/>
      <c r="BT676" s="21"/>
      <c r="BU676" s="21"/>
      <c r="BV676" s="21"/>
      <c r="BW676" s="21"/>
      <c r="BX676" s="21"/>
      <c r="BY676" s="21"/>
      <c r="BZ676" s="21"/>
      <c r="CA676" s="21"/>
      <c r="CB676" s="21"/>
      <c r="CC676" s="21"/>
      <c r="CD676" s="21"/>
      <c r="CE676" s="21"/>
      <c r="CF676" s="21"/>
      <c r="CG676" s="21"/>
      <c r="CH676" s="21"/>
      <c r="CI676" s="21"/>
      <c r="CJ676" s="21"/>
      <c r="CK676" s="21"/>
      <c r="CL676" s="21"/>
      <c r="CM676" s="21"/>
      <c r="CN676" s="21"/>
      <c r="CO676" s="21"/>
      <c r="CP676" s="21"/>
      <c r="CQ676" s="21"/>
      <c r="CR676" s="21"/>
      <c r="CS676" s="21"/>
      <c r="CT676" s="21"/>
      <c r="CU676" s="21"/>
      <c r="CV676" s="21"/>
      <c r="CW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21"/>
      <c r="BT677" s="21"/>
      <c r="BU677" s="21"/>
      <c r="BV677" s="21"/>
      <c r="BW677" s="21"/>
      <c r="BX677" s="21"/>
      <c r="BY677" s="21"/>
      <c r="BZ677" s="21"/>
      <c r="CA677" s="21"/>
      <c r="CB677" s="21"/>
      <c r="CC677" s="21"/>
      <c r="CD677" s="21"/>
      <c r="CE677" s="21"/>
      <c r="CF677" s="21"/>
      <c r="CG677" s="21"/>
      <c r="CH677" s="21"/>
      <c r="CI677" s="21"/>
      <c r="CJ677" s="21"/>
      <c r="CK677" s="21"/>
      <c r="CL677" s="21"/>
      <c r="CM677" s="21"/>
      <c r="CN677" s="21"/>
      <c r="CO677" s="21"/>
      <c r="CP677" s="21"/>
      <c r="CQ677" s="21"/>
      <c r="CR677" s="21"/>
      <c r="CS677" s="21"/>
      <c r="CT677" s="21"/>
      <c r="CU677" s="21"/>
      <c r="CV677" s="21"/>
      <c r="CW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21"/>
      <c r="BT678" s="21"/>
      <c r="BU678" s="21"/>
      <c r="BV678" s="21"/>
      <c r="BW678" s="21"/>
      <c r="BX678" s="21"/>
      <c r="BY678" s="21"/>
      <c r="BZ678" s="21"/>
      <c r="CA678" s="21"/>
      <c r="CB678" s="21"/>
      <c r="CC678" s="21"/>
      <c r="CD678" s="21"/>
      <c r="CE678" s="21"/>
      <c r="CF678" s="21"/>
      <c r="CG678" s="21"/>
      <c r="CH678" s="21"/>
      <c r="CI678" s="21"/>
      <c r="CJ678" s="21"/>
      <c r="CK678" s="21"/>
      <c r="CL678" s="21"/>
      <c r="CM678" s="21"/>
      <c r="CN678" s="21"/>
      <c r="CO678" s="21"/>
      <c r="CP678" s="21"/>
      <c r="CQ678" s="21"/>
      <c r="CR678" s="21"/>
      <c r="CS678" s="21"/>
      <c r="CT678" s="21"/>
      <c r="CU678" s="21"/>
      <c r="CV678" s="21"/>
      <c r="CW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21"/>
      <c r="BT679" s="21"/>
      <c r="BU679" s="21"/>
      <c r="BV679" s="21"/>
      <c r="BW679" s="21"/>
      <c r="BX679" s="21"/>
      <c r="BY679" s="21"/>
      <c r="BZ679" s="21"/>
      <c r="CA679" s="21"/>
      <c r="CB679" s="21"/>
      <c r="CC679" s="21"/>
      <c r="CD679" s="21"/>
      <c r="CE679" s="21"/>
      <c r="CF679" s="21"/>
      <c r="CG679" s="21"/>
      <c r="CH679" s="21"/>
      <c r="CI679" s="21"/>
      <c r="CJ679" s="21"/>
      <c r="CK679" s="21"/>
      <c r="CL679" s="21"/>
      <c r="CM679" s="21"/>
      <c r="CN679" s="21"/>
      <c r="CO679" s="21"/>
      <c r="CP679" s="21"/>
      <c r="CQ679" s="21"/>
      <c r="CR679" s="21"/>
      <c r="CS679" s="21"/>
      <c r="CT679" s="21"/>
      <c r="CU679" s="21"/>
      <c r="CV679" s="21"/>
      <c r="CW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21"/>
      <c r="BT680" s="21"/>
      <c r="BU680" s="21"/>
      <c r="BV680" s="21"/>
      <c r="BW680" s="21"/>
      <c r="BX680" s="21"/>
      <c r="BY680" s="21"/>
      <c r="BZ680" s="21"/>
      <c r="CA680" s="21"/>
      <c r="CB680" s="21"/>
      <c r="CC680" s="21"/>
      <c r="CD680" s="21"/>
      <c r="CE680" s="21"/>
      <c r="CF680" s="21"/>
      <c r="CG680" s="21"/>
      <c r="CH680" s="21"/>
      <c r="CI680" s="21"/>
      <c r="CJ680" s="21"/>
      <c r="CK680" s="21"/>
      <c r="CL680" s="21"/>
      <c r="CM680" s="21"/>
      <c r="CN680" s="21"/>
      <c r="CO680" s="21"/>
      <c r="CP680" s="21"/>
      <c r="CQ680" s="21"/>
      <c r="CR680" s="21"/>
      <c r="CS680" s="21"/>
      <c r="CT680" s="21"/>
      <c r="CU680" s="21"/>
      <c r="CV680" s="21"/>
      <c r="CW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21"/>
      <c r="BT681" s="21"/>
      <c r="BU681" s="21"/>
      <c r="BV681" s="21"/>
      <c r="BW681" s="21"/>
      <c r="BX681" s="21"/>
      <c r="BY681" s="21"/>
      <c r="BZ681" s="21"/>
      <c r="CA681" s="21"/>
      <c r="CB681" s="21"/>
      <c r="CC681" s="21"/>
      <c r="CD681" s="21"/>
      <c r="CE681" s="21"/>
      <c r="CF681" s="21"/>
      <c r="CG681" s="21"/>
      <c r="CH681" s="21"/>
      <c r="CI681" s="21"/>
      <c r="CJ681" s="21"/>
      <c r="CK681" s="21"/>
      <c r="CL681" s="21"/>
      <c r="CM681" s="21"/>
      <c r="CN681" s="21"/>
      <c r="CO681" s="21"/>
      <c r="CP681" s="21"/>
      <c r="CQ681" s="21"/>
      <c r="CR681" s="21"/>
      <c r="CS681" s="21"/>
      <c r="CT681" s="21"/>
      <c r="CU681" s="21"/>
      <c r="CV681" s="21"/>
      <c r="CW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21"/>
      <c r="BT682" s="21"/>
      <c r="BU682" s="21"/>
      <c r="BV682" s="21"/>
      <c r="BW682" s="21"/>
      <c r="BX682" s="21"/>
      <c r="BY682" s="21"/>
      <c r="BZ682" s="21"/>
      <c r="CA682" s="21"/>
      <c r="CB682" s="21"/>
      <c r="CC682" s="21"/>
      <c r="CD682" s="21"/>
      <c r="CE682" s="21"/>
      <c r="CF682" s="21"/>
      <c r="CG682" s="21"/>
      <c r="CH682" s="21"/>
      <c r="CI682" s="21"/>
      <c r="CJ682" s="21"/>
      <c r="CK682" s="21"/>
      <c r="CL682" s="21"/>
      <c r="CM682" s="21"/>
      <c r="CN682" s="21"/>
      <c r="CO682" s="21"/>
      <c r="CP682" s="21"/>
      <c r="CQ682" s="21"/>
      <c r="CR682" s="21"/>
      <c r="CS682" s="21"/>
      <c r="CT682" s="21"/>
      <c r="CU682" s="21"/>
      <c r="CV682" s="21"/>
      <c r="CW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21"/>
      <c r="BT683" s="21"/>
      <c r="BU683" s="21"/>
      <c r="BV683" s="21"/>
      <c r="BW683" s="21"/>
      <c r="BX683" s="21"/>
      <c r="BY683" s="21"/>
      <c r="BZ683" s="21"/>
      <c r="CA683" s="21"/>
      <c r="CB683" s="21"/>
      <c r="CC683" s="21"/>
      <c r="CD683" s="21"/>
      <c r="CE683" s="21"/>
      <c r="CF683" s="21"/>
      <c r="CG683" s="21"/>
      <c r="CH683" s="21"/>
      <c r="CI683" s="21"/>
      <c r="CJ683" s="21"/>
      <c r="CK683" s="21"/>
      <c r="CL683" s="21"/>
      <c r="CM683" s="21"/>
      <c r="CN683" s="21"/>
      <c r="CO683" s="21"/>
      <c r="CP683" s="21"/>
      <c r="CQ683" s="21"/>
      <c r="CR683" s="21"/>
      <c r="CS683" s="21"/>
      <c r="CT683" s="21"/>
      <c r="CU683" s="21"/>
      <c r="CV683" s="21"/>
      <c r="CW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21"/>
      <c r="BT684" s="21"/>
      <c r="BU684" s="21"/>
      <c r="BV684" s="21"/>
      <c r="BW684" s="21"/>
      <c r="BX684" s="21"/>
      <c r="BY684" s="21"/>
      <c r="BZ684" s="21"/>
      <c r="CA684" s="21"/>
      <c r="CB684" s="21"/>
      <c r="CC684" s="21"/>
      <c r="CD684" s="21"/>
      <c r="CE684" s="21"/>
      <c r="CF684" s="21"/>
      <c r="CG684" s="21"/>
      <c r="CH684" s="21"/>
      <c r="CI684" s="21"/>
      <c r="CJ684" s="21"/>
      <c r="CK684" s="21"/>
      <c r="CL684" s="21"/>
      <c r="CM684" s="21"/>
      <c r="CN684" s="21"/>
      <c r="CO684" s="21"/>
      <c r="CP684" s="21"/>
      <c r="CQ684" s="21"/>
      <c r="CR684" s="21"/>
      <c r="CS684" s="21"/>
      <c r="CT684" s="21"/>
      <c r="CU684" s="21"/>
      <c r="CV684" s="21"/>
      <c r="CW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21"/>
      <c r="BT685" s="21"/>
      <c r="BU685" s="21"/>
      <c r="BV685" s="21"/>
      <c r="BW685" s="21"/>
      <c r="BX685" s="21"/>
      <c r="BY685" s="21"/>
      <c r="BZ685" s="21"/>
      <c r="CA685" s="21"/>
      <c r="CB685" s="21"/>
      <c r="CC685" s="21"/>
      <c r="CD685" s="21"/>
      <c r="CE685" s="21"/>
      <c r="CF685" s="21"/>
      <c r="CG685" s="21"/>
      <c r="CH685" s="21"/>
      <c r="CI685" s="21"/>
      <c r="CJ685" s="21"/>
      <c r="CK685" s="21"/>
      <c r="CL685" s="21"/>
      <c r="CM685" s="21"/>
      <c r="CN685" s="21"/>
      <c r="CO685" s="21"/>
      <c r="CP685" s="21"/>
      <c r="CQ685" s="21"/>
      <c r="CR685" s="21"/>
      <c r="CS685" s="21"/>
      <c r="CT685" s="21"/>
      <c r="CU685" s="21"/>
      <c r="CV685" s="21"/>
      <c r="CW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21"/>
      <c r="BT686" s="21"/>
      <c r="BU686" s="21"/>
      <c r="BV686" s="21"/>
      <c r="BW686" s="21"/>
      <c r="BX686" s="21"/>
      <c r="BY686" s="21"/>
      <c r="BZ686" s="21"/>
      <c r="CA686" s="21"/>
      <c r="CB686" s="21"/>
      <c r="CC686" s="21"/>
      <c r="CD686" s="21"/>
      <c r="CE686" s="21"/>
      <c r="CF686" s="21"/>
      <c r="CG686" s="21"/>
      <c r="CH686" s="21"/>
      <c r="CI686" s="21"/>
      <c r="CJ686" s="21"/>
      <c r="CK686" s="21"/>
      <c r="CL686" s="21"/>
      <c r="CM686" s="21"/>
      <c r="CN686" s="21"/>
      <c r="CO686" s="21"/>
      <c r="CP686" s="21"/>
      <c r="CQ686" s="21"/>
      <c r="CR686" s="21"/>
      <c r="CS686" s="21"/>
      <c r="CT686" s="21"/>
      <c r="CU686" s="21"/>
      <c r="CV686" s="21"/>
      <c r="CW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21"/>
      <c r="BT687" s="21"/>
      <c r="BU687" s="21"/>
      <c r="BV687" s="21"/>
      <c r="BW687" s="21"/>
      <c r="BX687" s="21"/>
      <c r="BY687" s="21"/>
      <c r="BZ687" s="21"/>
      <c r="CA687" s="21"/>
      <c r="CB687" s="21"/>
      <c r="CC687" s="21"/>
      <c r="CD687" s="21"/>
      <c r="CE687" s="21"/>
      <c r="CF687" s="21"/>
      <c r="CG687" s="21"/>
      <c r="CH687" s="21"/>
      <c r="CI687" s="21"/>
      <c r="CJ687" s="21"/>
      <c r="CK687" s="21"/>
      <c r="CL687" s="21"/>
      <c r="CM687" s="21"/>
      <c r="CN687" s="21"/>
      <c r="CO687" s="21"/>
      <c r="CP687" s="21"/>
      <c r="CQ687" s="21"/>
      <c r="CR687" s="21"/>
      <c r="CS687" s="21"/>
      <c r="CT687" s="21"/>
      <c r="CU687" s="21"/>
      <c r="CV687" s="21"/>
      <c r="CW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21"/>
      <c r="BT688" s="21"/>
      <c r="BU688" s="21"/>
      <c r="BV688" s="21"/>
      <c r="BW688" s="21"/>
      <c r="BX688" s="21"/>
      <c r="BY688" s="21"/>
      <c r="BZ688" s="21"/>
      <c r="CA688" s="21"/>
      <c r="CB688" s="21"/>
      <c r="CC688" s="21"/>
      <c r="CD688" s="21"/>
      <c r="CE688" s="21"/>
      <c r="CF688" s="21"/>
      <c r="CG688" s="21"/>
      <c r="CH688" s="21"/>
      <c r="CI688" s="21"/>
      <c r="CJ688" s="21"/>
      <c r="CK688" s="21"/>
      <c r="CL688" s="21"/>
      <c r="CM688" s="21"/>
      <c r="CN688" s="21"/>
      <c r="CO688" s="21"/>
      <c r="CP688" s="21"/>
      <c r="CQ688" s="21"/>
      <c r="CR688" s="21"/>
      <c r="CS688" s="21"/>
      <c r="CT688" s="21"/>
      <c r="CU688" s="21"/>
      <c r="CV688" s="21"/>
      <c r="CW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21"/>
      <c r="BT689" s="21"/>
      <c r="BU689" s="21"/>
      <c r="BV689" s="21"/>
      <c r="BW689" s="21"/>
      <c r="BX689" s="21"/>
      <c r="BY689" s="21"/>
      <c r="BZ689" s="21"/>
      <c r="CA689" s="21"/>
      <c r="CB689" s="21"/>
      <c r="CC689" s="21"/>
      <c r="CD689" s="21"/>
      <c r="CE689" s="21"/>
      <c r="CF689" s="21"/>
      <c r="CG689" s="21"/>
      <c r="CH689" s="21"/>
      <c r="CI689" s="21"/>
      <c r="CJ689" s="21"/>
      <c r="CK689" s="21"/>
      <c r="CL689" s="21"/>
      <c r="CM689" s="21"/>
      <c r="CN689" s="21"/>
      <c r="CO689" s="21"/>
      <c r="CP689" s="21"/>
      <c r="CQ689" s="21"/>
      <c r="CR689" s="21"/>
      <c r="CS689" s="21"/>
      <c r="CT689" s="21"/>
      <c r="CU689" s="21"/>
      <c r="CV689" s="21"/>
      <c r="CW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21"/>
      <c r="BT690" s="21"/>
      <c r="BU690" s="21"/>
      <c r="BV690" s="21"/>
      <c r="BW690" s="21"/>
      <c r="BX690" s="21"/>
      <c r="BY690" s="21"/>
      <c r="BZ690" s="21"/>
      <c r="CA690" s="21"/>
      <c r="CB690" s="21"/>
      <c r="CC690" s="21"/>
      <c r="CD690" s="21"/>
      <c r="CE690" s="21"/>
      <c r="CF690" s="21"/>
      <c r="CG690" s="21"/>
      <c r="CH690" s="21"/>
      <c r="CI690" s="21"/>
      <c r="CJ690" s="21"/>
      <c r="CK690" s="21"/>
      <c r="CL690" s="21"/>
      <c r="CM690" s="21"/>
      <c r="CN690" s="21"/>
      <c r="CO690" s="21"/>
      <c r="CP690" s="21"/>
      <c r="CQ690" s="21"/>
      <c r="CR690" s="21"/>
      <c r="CS690" s="21"/>
      <c r="CT690" s="21"/>
      <c r="CU690" s="21"/>
      <c r="CV690" s="21"/>
      <c r="CW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21"/>
      <c r="BT691" s="21"/>
      <c r="BU691" s="21"/>
      <c r="BV691" s="21"/>
      <c r="BW691" s="21"/>
      <c r="BX691" s="21"/>
      <c r="BY691" s="21"/>
      <c r="BZ691" s="21"/>
      <c r="CA691" s="21"/>
      <c r="CB691" s="21"/>
      <c r="CC691" s="21"/>
      <c r="CD691" s="21"/>
      <c r="CE691" s="21"/>
      <c r="CF691" s="21"/>
      <c r="CG691" s="21"/>
      <c r="CH691" s="21"/>
      <c r="CI691" s="21"/>
      <c r="CJ691" s="21"/>
      <c r="CK691" s="21"/>
      <c r="CL691" s="21"/>
      <c r="CM691" s="21"/>
      <c r="CN691" s="21"/>
      <c r="CO691" s="21"/>
      <c r="CP691" s="21"/>
      <c r="CQ691" s="21"/>
      <c r="CR691" s="21"/>
      <c r="CS691" s="21"/>
      <c r="CT691" s="21"/>
      <c r="CU691" s="21"/>
      <c r="CV691" s="21"/>
      <c r="CW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21"/>
      <c r="BT692" s="21"/>
      <c r="BU692" s="21"/>
      <c r="BV692" s="21"/>
      <c r="BW692" s="21"/>
      <c r="BX692" s="21"/>
      <c r="BY692" s="21"/>
      <c r="BZ692" s="21"/>
      <c r="CA692" s="21"/>
      <c r="CB692" s="21"/>
      <c r="CC692" s="21"/>
      <c r="CD692" s="21"/>
      <c r="CE692" s="21"/>
      <c r="CF692" s="21"/>
      <c r="CG692" s="21"/>
      <c r="CH692" s="21"/>
      <c r="CI692" s="21"/>
      <c r="CJ692" s="21"/>
      <c r="CK692" s="21"/>
      <c r="CL692" s="21"/>
      <c r="CM692" s="21"/>
      <c r="CN692" s="21"/>
      <c r="CO692" s="21"/>
      <c r="CP692" s="21"/>
      <c r="CQ692" s="21"/>
      <c r="CR692" s="21"/>
      <c r="CS692" s="21"/>
      <c r="CT692" s="21"/>
      <c r="CU692" s="21"/>
      <c r="CV692" s="21"/>
      <c r="CW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21"/>
      <c r="BT693" s="21"/>
      <c r="BU693" s="21"/>
      <c r="BV693" s="21"/>
      <c r="BW693" s="21"/>
      <c r="BX693" s="21"/>
      <c r="BY693" s="21"/>
      <c r="BZ693" s="21"/>
      <c r="CA693" s="21"/>
      <c r="CB693" s="21"/>
      <c r="CC693" s="21"/>
      <c r="CD693" s="21"/>
      <c r="CE693" s="21"/>
      <c r="CF693" s="21"/>
      <c r="CG693" s="21"/>
      <c r="CH693" s="21"/>
      <c r="CI693" s="21"/>
      <c r="CJ693" s="21"/>
      <c r="CK693" s="21"/>
      <c r="CL693" s="21"/>
      <c r="CM693" s="21"/>
      <c r="CN693" s="21"/>
      <c r="CO693" s="21"/>
      <c r="CP693" s="21"/>
      <c r="CQ693" s="21"/>
      <c r="CR693" s="21"/>
      <c r="CS693" s="21"/>
      <c r="CT693" s="21"/>
      <c r="CU693" s="21"/>
      <c r="CV693" s="21"/>
      <c r="CW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21"/>
      <c r="BT694" s="21"/>
      <c r="BU694" s="21"/>
      <c r="BV694" s="21"/>
      <c r="BW694" s="21"/>
      <c r="BX694" s="21"/>
      <c r="BY694" s="21"/>
      <c r="BZ694" s="21"/>
      <c r="CA694" s="21"/>
      <c r="CB694" s="21"/>
      <c r="CC694" s="21"/>
      <c r="CD694" s="21"/>
      <c r="CE694" s="21"/>
      <c r="CF694" s="21"/>
      <c r="CG694" s="21"/>
      <c r="CH694" s="21"/>
      <c r="CI694" s="21"/>
      <c r="CJ694" s="21"/>
      <c r="CK694" s="21"/>
      <c r="CL694" s="21"/>
      <c r="CM694" s="21"/>
      <c r="CN694" s="21"/>
      <c r="CO694" s="21"/>
      <c r="CP694" s="21"/>
      <c r="CQ694" s="21"/>
      <c r="CR694" s="21"/>
      <c r="CS694" s="21"/>
      <c r="CT694" s="21"/>
      <c r="CU694" s="21"/>
      <c r="CV694" s="21"/>
      <c r="CW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21"/>
      <c r="BT695" s="21"/>
      <c r="BU695" s="21"/>
      <c r="BV695" s="21"/>
      <c r="BW695" s="21"/>
      <c r="BX695" s="21"/>
      <c r="BY695" s="21"/>
      <c r="BZ695" s="21"/>
      <c r="CA695" s="21"/>
      <c r="CB695" s="21"/>
      <c r="CC695" s="21"/>
      <c r="CD695" s="21"/>
      <c r="CE695" s="21"/>
      <c r="CF695" s="21"/>
      <c r="CG695" s="21"/>
      <c r="CH695" s="21"/>
      <c r="CI695" s="21"/>
      <c r="CJ695" s="21"/>
      <c r="CK695" s="21"/>
      <c r="CL695" s="21"/>
      <c r="CM695" s="21"/>
      <c r="CN695" s="21"/>
      <c r="CO695" s="21"/>
      <c r="CP695" s="21"/>
      <c r="CQ695" s="21"/>
      <c r="CR695" s="21"/>
      <c r="CS695" s="21"/>
      <c r="CT695" s="21"/>
      <c r="CU695" s="21"/>
      <c r="CV695" s="21"/>
      <c r="CW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21"/>
      <c r="BT696" s="21"/>
      <c r="BU696" s="21"/>
      <c r="BV696" s="21"/>
      <c r="BW696" s="21"/>
      <c r="BX696" s="21"/>
      <c r="BY696" s="21"/>
      <c r="BZ696" s="21"/>
      <c r="CA696" s="21"/>
      <c r="CB696" s="21"/>
      <c r="CC696" s="21"/>
      <c r="CD696" s="21"/>
      <c r="CE696" s="21"/>
      <c r="CF696" s="21"/>
      <c r="CG696" s="21"/>
      <c r="CH696" s="21"/>
      <c r="CI696" s="21"/>
      <c r="CJ696" s="21"/>
      <c r="CK696" s="21"/>
      <c r="CL696" s="21"/>
      <c r="CM696" s="21"/>
      <c r="CN696" s="21"/>
      <c r="CO696" s="21"/>
      <c r="CP696" s="21"/>
      <c r="CQ696" s="21"/>
      <c r="CR696" s="21"/>
      <c r="CS696" s="21"/>
      <c r="CT696" s="21"/>
      <c r="CU696" s="21"/>
      <c r="CV696" s="21"/>
      <c r="CW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21"/>
      <c r="BT697" s="21"/>
      <c r="BU697" s="21"/>
      <c r="BV697" s="21"/>
      <c r="BW697" s="21"/>
      <c r="BX697" s="21"/>
      <c r="BY697" s="21"/>
      <c r="BZ697" s="21"/>
      <c r="CA697" s="21"/>
      <c r="CB697" s="21"/>
      <c r="CC697" s="21"/>
      <c r="CD697" s="21"/>
      <c r="CE697" s="21"/>
      <c r="CF697" s="21"/>
      <c r="CG697" s="21"/>
      <c r="CH697" s="21"/>
      <c r="CI697" s="21"/>
      <c r="CJ697" s="21"/>
      <c r="CK697" s="21"/>
      <c r="CL697" s="21"/>
      <c r="CM697" s="21"/>
      <c r="CN697" s="21"/>
      <c r="CO697" s="21"/>
      <c r="CP697" s="21"/>
      <c r="CQ697" s="21"/>
      <c r="CR697" s="21"/>
      <c r="CS697" s="21"/>
      <c r="CT697" s="21"/>
      <c r="CU697" s="21"/>
      <c r="CV697" s="21"/>
      <c r="CW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21"/>
      <c r="BT698" s="21"/>
      <c r="BU698" s="21"/>
      <c r="BV698" s="21"/>
      <c r="BW698" s="21"/>
      <c r="BX698" s="21"/>
      <c r="BY698" s="21"/>
      <c r="BZ698" s="21"/>
      <c r="CA698" s="21"/>
      <c r="CB698" s="21"/>
      <c r="CC698" s="21"/>
      <c r="CD698" s="21"/>
      <c r="CE698" s="21"/>
      <c r="CF698" s="21"/>
      <c r="CG698" s="21"/>
      <c r="CH698" s="21"/>
      <c r="CI698" s="21"/>
      <c r="CJ698" s="21"/>
      <c r="CK698" s="21"/>
      <c r="CL698" s="21"/>
      <c r="CM698" s="21"/>
      <c r="CN698" s="21"/>
      <c r="CO698" s="21"/>
      <c r="CP698" s="21"/>
      <c r="CQ698" s="21"/>
      <c r="CR698" s="21"/>
      <c r="CS698" s="21"/>
      <c r="CT698" s="21"/>
      <c r="CU698" s="21"/>
      <c r="CV698" s="21"/>
      <c r="CW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21"/>
      <c r="BT699" s="21"/>
      <c r="BU699" s="21"/>
      <c r="BV699" s="21"/>
      <c r="BW699" s="21"/>
      <c r="BX699" s="21"/>
      <c r="BY699" s="21"/>
      <c r="BZ699" s="21"/>
      <c r="CA699" s="21"/>
      <c r="CB699" s="21"/>
      <c r="CC699" s="21"/>
      <c r="CD699" s="21"/>
      <c r="CE699" s="21"/>
      <c r="CF699" s="21"/>
      <c r="CG699" s="21"/>
      <c r="CH699" s="21"/>
      <c r="CI699" s="21"/>
      <c r="CJ699" s="21"/>
      <c r="CK699" s="21"/>
      <c r="CL699" s="21"/>
      <c r="CM699" s="21"/>
      <c r="CN699" s="21"/>
      <c r="CO699" s="21"/>
      <c r="CP699" s="21"/>
      <c r="CQ699" s="21"/>
      <c r="CR699" s="21"/>
      <c r="CS699" s="21"/>
      <c r="CT699" s="21"/>
      <c r="CU699" s="21"/>
      <c r="CV699" s="21"/>
      <c r="CW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21"/>
      <c r="BT700" s="21"/>
      <c r="BU700" s="21"/>
      <c r="BV700" s="21"/>
      <c r="BW700" s="21"/>
      <c r="BX700" s="21"/>
      <c r="BY700" s="21"/>
      <c r="BZ700" s="21"/>
      <c r="CA700" s="21"/>
      <c r="CB700" s="21"/>
      <c r="CC700" s="21"/>
      <c r="CD700" s="21"/>
      <c r="CE700" s="21"/>
      <c r="CF700" s="21"/>
      <c r="CG700" s="21"/>
      <c r="CH700" s="21"/>
      <c r="CI700" s="21"/>
      <c r="CJ700" s="21"/>
      <c r="CK700" s="21"/>
      <c r="CL700" s="21"/>
      <c r="CM700" s="21"/>
      <c r="CN700" s="21"/>
      <c r="CO700" s="21"/>
      <c r="CP700" s="21"/>
      <c r="CQ700" s="21"/>
      <c r="CR700" s="21"/>
      <c r="CS700" s="21"/>
      <c r="CT700" s="21"/>
      <c r="CU700" s="21"/>
      <c r="CV700" s="21"/>
      <c r="CW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21"/>
      <c r="BT701" s="21"/>
      <c r="BU701" s="21"/>
      <c r="BV701" s="21"/>
      <c r="BW701" s="21"/>
      <c r="BX701" s="21"/>
      <c r="BY701" s="21"/>
      <c r="BZ701" s="21"/>
      <c r="CA701" s="21"/>
      <c r="CB701" s="21"/>
      <c r="CC701" s="21"/>
      <c r="CD701" s="21"/>
      <c r="CE701" s="21"/>
      <c r="CF701" s="21"/>
      <c r="CG701" s="21"/>
      <c r="CH701" s="21"/>
      <c r="CI701" s="21"/>
      <c r="CJ701" s="21"/>
      <c r="CK701" s="21"/>
      <c r="CL701" s="21"/>
      <c r="CM701" s="21"/>
      <c r="CN701" s="21"/>
      <c r="CO701" s="21"/>
      <c r="CP701" s="21"/>
      <c r="CQ701" s="21"/>
      <c r="CR701" s="21"/>
      <c r="CS701" s="21"/>
      <c r="CT701" s="21"/>
      <c r="CU701" s="21"/>
      <c r="CV701" s="21"/>
      <c r="CW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21"/>
      <c r="BT702" s="21"/>
      <c r="BU702" s="21"/>
      <c r="BV702" s="21"/>
      <c r="BW702" s="21"/>
      <c r="BX702" s="21"/>
      <c r="BY702" s="21"/>
      <c r="BZ702" s="21"/>
      <c r="CA702" s="21"/>
      <c r="CB702" s="21"/>
      <c r="CC702" s="21"/>
      <c r="CD702" s="21"/>
      <c r="CE702" s="21"/>
      <c r="CF702" s="21"/>
      <c r="CG702" s="21"/>
      <c r="CH702" s="21"/>
      <c r="CI702" s="21"/>
      <c r="CJ702" s="21"/>
      <c r="CK702" s="21"/>
      <c r="CL702" s="21"/>
      <c r="CM702" s="21"/>
      <c r="CN702" s="21"/>
      <c r="CO702" s="21"/>
      <c r="CP702" s="21"/>
      <c r="CQ702" s="21"/>
      <c r="CR702" s="21"/>
      <c r="CS702" s="21"/>
      <c r="CT702" s="21"/>
      <c r="CU702" s="21"/>
      <c r="CV702" s="21"/>
      <c r="CW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21"/>
      <c r="BT703" s="21"/>
      <c r="BU703" s="21"/>
      <c r="BV703" s="21"/>
      <c r="BW703" s="21"/>
      <c r="BX703" s="21"/>
      <c r="BY703" s="21"/>
      <c r="BZ703" s="21"/>
      <c r="CA703" s="21"/>
      <c r="CB703" s="21"/>
      <c r="CC703" s="21"/>
      <c r="CD703" s="21"/>
      <c r="CE703" s="21"/>
      <c r="CF703" s="21"/>
      <c r="CG703" s="21"/>
      <c r="CH703" s="21"/>
      <c r="CI703" s="21"/>
      <c r="CJ703" s="21"/>
      <c r="CK703" s="21"/>
      <c r="CL703" s="21"/>
      <c r="CM703" s="21"/>
      <c r="CN703" s="21"/>
      <c r="CO703" s="21"/>
      <c r="CP703" s="21"/>
      <c r="CQ703" s="21"/>
      <c r="CR703" s="21"/>
      <c r="CS703" s="21"/>
      <c r="CT703" s="21"/>
      <c r="CU703" s="21"/>
      <c r="CV703" s="21"/>
      <c r="CW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21"/>
      <c r="BT704" s="21"/>
      <c r="BU704" s="21"/>
      <c r="BV704" s="21"/>
      <c r="BW704" s="21"/>
      <c r="BX704" s="21"/>
      <c r="BY704" s="21"/>
      <c r="BZ704" s="21"/>
      <c r="CA704" s="21"/>
      <c r="CB704" s="21"/>
      <c r="CC704" s="21"/>
      <c r="CD704" s="21"/>
      <c r="CE704" s="21"/>
      <c r="CF704" s="21"/>
      <c r="CG704" s="21"/>
      <c r="CH704" s="21"/>
      <c r="CI704" s="21"/>
      <c r="CJ704" s="21"/>
      <c r="CK704" s="21"/>
      <c r="CL704" s="21"/>
      <c r="CM704" s="21"/>
      <c r="CN704" s="21"/>
      <c r="CO704" s="21"/>
      <c r="CP704" s="21"/>
      <c r="CQ704" s="21"/>
      <c r="CR704" s="21"/>
      <c r="CS704" s="21"/>
      <c r="CT704" s="21"/>
      <c r="CU704" s="21"/>
      <c r="CV704" s="21"/>
      <c r="CW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21"/>
      <c r="BT705" s="21"/>
      <c r="BU705" s="21"/>
      <c r="BV705" s="21"/>
      <c r="BW705" s="21"/>
      <c r="BX705" s="21"/>
      <c r="BY705" s="21"/>
      <c r="BZ705" s="21"/>
      <c r="CA705" s="21"/>
      <c r="CB705" s="21"/>
      <c r="CC705" s="21"/>
      <c r="CD705" s="21"/>
      <c r="CE705" s="21"/>
      <c r="CF705" s="21"/>
      <c r="CG705" s="21"/>
      <c r="CH705" s="21"/>
      <c r="CI705" s="21"/>
      <c r="CJ705" s="21"/>
      <c r="CK705" s="21"/>
      <c r="CL705" s="21"/>
      <c r="CM705" s="21"/>
      <c r="CN705" s="21"/>
      <c r="CO705" s="21"/>
      <c r="CP705" s="21"/>
      <c r="CQ705" s="21"/>
      <c r="CR705" s="21"/>
      <c r="CS705" s="21"/>
      <c r="CT705" s="21"/>
      <c r="CU705" s="21"/>
      <c r="CV705" s="21"/>
      <c r="CW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21"/>
      <c r="BT706" s="21"/>
      <c r="BU706" s="21"/>
      <c r="BV706" s="21"/>
      <c r="BW706" s="21"/>
      <c r="BX706" s="21"/>
      <c r="BY706" s="21"/>
      <c r="BZ706" s="21"/>
      <c r="CA706" s="21"/>
      <c r="CB706" s="21"/>
      <c r="CC706" s="21"/>
      <c r="CD706" s="21"/>
      <c r="CE706" s="21"/>
      <c r="CF706" s="21"/>
      <c r="CG706" s="21"/>
      <c r="CH706" s="21"/>
      <c r="CI706" s="21"/>
      <c r="CJ706" s="21"/>
      <c r="CK706" s="21"/>
      <c r="CL706" s="21"/>
      <c r="CM706" s="21"/>
      <c r="CN706" s="21"/>
      <c r="CO706" s="21"/>
      <c r="CP706" s="21"/>
      <c r="CQ706" s="21"/>
      <c r="CR706" s="21"/>
      <c r="CS706" s="21"/>
      <c r="CT706" s="21"/>
      <c r="CU706" s="21"/>
      <c r="CV706" s="21"/>
      <c r="CW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21"/>
      <c r="BT707" s="21"/>
      <c r="BU707" s="21"/>
      <c r="BV707" s="21"/>
      <c r="BW707" s="21"/>
      <c r="BX707" s="21"/>
      <c r="BY707" s="21"/>
      <c r="BZ707" s="21"/>
      <c r="CA707" s="21"/>
      <c r="CB707" s="21"/>
      <c r="CC707" s="21"/>
      <c r="CD707" s="21"/>
      <c r="CE707" s="21"/>
      <c r="CF707" s="21"/>
      <c r="CG707" s="21"/>
      <c r="CH707" s="21"/>
      <c r="CI707" s="21"/>
      <c r="CJ707" s="21"/>
      <c r="CK707" s="21"/>
      <c r="CL707" s="21"/>
      <c r="CM707" s="21"/>
      <c r="CN707" s="21"/>
      <c r="CO707" s="21"/>
      <c r="CP707" s="21"/>
      <c r="CQ707" s="21"/>
      <c r="CR707" s="21"/>
      <c r="CS707" s="21"/>
      <c r="CT707" s="21"/>
      <c r="CU707" s="21"/>
      <c r="CV707" s="21"/>
      <c r="CW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21"/>
      <c r="BT708" s="21"/>
      <c r="BU708" s="21"/>
      <c r="BV708" s="21"/>
      <c r="BW708" s="21"/>
      <c r="BX708" s="21"/>
      <c r="BY708" s="21"/>
      <c r="BZ708" s="21"/>
      <c r="CA708" s="21"/>
      <c r="CB708" s="21"/>
      <c r="CC708" s="21"/>
      <c r="CD708" s="21"/>
      <c r="CE708" s="21"/>
      <c r="CF708" s="21"/>
      <c r="CG708" s="21"/>
      <c r="CH708" s="21"/>
      <c r="CI708" s="21"/>
      <c r="CJ708" s="21"/>
      <c r="CK708" s="21"/>
      <c r="CL708" s="21"/>
      <c r="CM708" s="21"/>
      <c r="CN708" s="21"/>
      <c r="CO708" s="21"/>
      <c r="CP708" s="21"/>
      <c r="CQ708" s="21"/>
      <c r="CR708" s="21"/>
      <c r="CS708" s="21"/>
      <c r="CT708" s="21"/>
      <c r="CU708" s="21"/>
      <c r="CV708" s="21"/>
      <c r="CW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21"/>
      <c r="BT709" s="21"/>
      <c r="BU709" s="21"/>
      <c r="BV709" s="21"/>
      <c r="BW709" s="21"/>
      <c r="BX709" s="21"/>
      <c r="BY709" s="21"/>
      <c r="BZ709" s="21"/>
      <c r="CA709" s="21"/>
      <c r="CB709" s="21"/>
      <c r="CC709" s="21"/>
      <c r="CD709" s="21"/>
      <c r="CE709" s="21"/>
      <c r="CF709" s="21"/>
      <c r="CG709" s="21"/>
      <c r="CH709" s="21"/>
      <c r="CI709" s="21"/>
      <c r="CJ709" s="21"/>
      <c r="CK709" s="21"/>
      <c r="CL709" s="21"/>
      <c r="CM709" s="21"/>
      <c r="CN709" s="21"/>
      <c r="CO709" s="21"/>
      <c r="CP709" s="21"/>
      <c r="CQ709" s="21"/>
      <c r="CR709" s="21"/>
      <c r="CS709" s="21"/>
      <c r="CT709" s="21"/>
      <c r="CU709" s="21"/>
      <c r="CV709" s="21"/>
      <c r="CW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21"/>
      <c r="BT710" s="21"/>
      <c r="BU710" s="21"/>
      <c r="BV710" s="21"/>
      <c r="BW710" s="21"/>
      <c r="BX710" s="21"/>
      <c r="BY710" s="21"/>
      <c r="BZ710" s="21"/>
      <c r="CA710" s="21"/>
      <c r="CB710" s="21"/>
      <c r="CC710" s="21"/>
      <c r="CD710" s="21"/>
      <c r="CE710" s="21"/>
      <c r="CF710" s="21"/>
      <c r="CG710" s="21"/>
      <c r="CH710" s="21"/>
      <c r="CI710" s="21"/>
      <c r="CJ710" s="21"/>
      <c r="CK710" s="21"/>
      <c r="CL710" s="21"/>
      <c r="CM710" s="21"/>
      <c r="CN710" s="21"/>
      <c r="CO710" s="21"/>
      <c r="CP710" s="21"/>
      <c r="CQ710" s="21"/>
      <c r="CR710" s="21"/>
      <c r="CS710" s="21"/>
      <c r="CT710" s="21"/>
      <c r="CU710" s="21"/>
      <c r="CV710" s="21"/>
      <c r="CW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21"/>
      <c r="BT711" s="21"/>
      <c r="BU711" s="21"/>
      <c r="BV711" s="21"/>
      <c r="BW711" s="21"/>
      <c r="BX711" s="21"/>
      <c r="BY711" s="21"/>
      <c r="BZ711" s="21"/>
      <c r="CA711" s="21"/>
      <c r="CB711" s="21"/>
      <c r="CC711" s="21"/>
      <c r="CD711" s="21"/>
      <c r="CE711" s="21"/>
      <c r="CF711" s="21"/>
      <c r="CG711" s="21"/>
      <c r="CH711" s="21"/>
      <c r="CI711" s="21"/>
      <c r="CJ711" s="21"/>
      <c r="CK711" s="21"/>
      <c r="CL711" s="21"/>
      <c r="CM711" s="21"/>
      <c r="CN711" s="21"/>
      <c r="CO711" s="21"/>
      <c r="CP711" s="21"/>
      <c r="CQ711" s="21"/>
      <c r="CR711" s="21"/>
      <c r="CS711" s="21"/>
      <c r="CT711" s="21"/>
      <c r="CU711" s="21"/>
      <c r="CV711" s="21"/>
      <c r="CW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21"/>
      <c r="BT712" s="21"/>
      <c r="BU712" s="21"/>
      <c r="BV712" s="21"/>
      <c r="BW712" s="21"/>
      <c r="BX712" s="21"/>
      <c r="BY712" s="21"/>
      <c r="BZ712" s="21"/>
      <c r="CA712" s="21"/>
      <c r="CB712" s="21"/>
      <c r="CC712" s="21"/>
      <c r="CD712" s="21"/>
      <c r="CE712" s="21"/>
      <c r="CF712" s="21"/>
      <c r="CG712" s="21"/>
      <c r="CH712" s="21"/>
      <c r="CI712" s="21"/>
      <c r="CJ712" s="21"/>
      <c r="CK712" s="21"/>
      <c r="CL712" s="21"/>
      <c r="CM712" s="21"/>
      <c r="CN712" s="21"/>
      <c r="CO712" s="21"/>
      <c r="CP712" s="21"/>
      <c r="CQ712" s="21"/>
      <c r="CR712" s="21"/>
      <c r="CS712" s="21"/>
      <c r="CT712" s="21"/>
      <c r="CU712" s="21"/>
      <c r="CV712" s="21"/>
      <c r="CW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21"/>
      <c r="BT713" s="21"/>
      <c r="BU713" s="21"/>
      <c r="BV713" s="21"/>
      <c r="BW713" s="21"/>
      <c r="BX713" s="21"/>
      <c r="BY713" s="21"/>
      <c r="BZ713" s="21"/>
      <c r="CA713" s="21"/>
      <c r="CB713" s="21"/>
      <c r="CC713" s="21"/>
      <c r="CD713" s="21"/>
      <c r="CE713" s="21"/>
      <c r="CF713" s="21"/>
      <c r="CG713" s="21"/>
      <c r="CH713" s="21"/>
      <c r="CI713" s="21"/>
      <c r="CJ713" s="21"/>
      <c r="CK713" s="21"/>
      <c r="CL713" s="21"/>
      <c r="CM713" s="21"/>
      <c r="CN713" s="21"/>
      <c r="CO713" s="21"/>
      <c r="CP713" s="21"/>
      <c r="CQ713" s="21"/>
      <c r="CR713" s="21"/>
      <c r="CS713" s="21"/>
      <c r="CT713" s="21"/>
      <c r="CU713" s="21"/>
      <c r="CV713" s="21"/>
      <c r="CW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21"/>
      <c r="BT714" s="21"/>
      <c r="BU714" s="21"/>
      <c r="BV714" s="21"/>
      <c r="BW714" s="21"/>
      <c r="BX714" s="21"/>
      <c r="BY714" s="21"/>
      <c r="BZ714" s="21"/>
      <c r="CA714" s="21"/>
      <c r="CB714" s="21"/>
      <c r="CC714" s="21"/>
      <c r="CD714" s="21"/>
      <c r="CE714" s="21"/>
      <c r="CF714" s="21"/>
      <c r="CG714" s="21"/>
      <c r="CH714" s="21"/>
      <c r="CI714" s="21"/>
      <c r="CJ714" s="21"/>
      <c r="CK714" s="21"/>
      <c r="CL714" s="21"/>
      <c r="CM714" s="21"/>
      <c r="CN714" s="21"/>
      <c r="CO714" s="21"/>
      <c r="CP714" s="21"/>
      <c r="CQ714" s="21"/>
      <c r="CR714" s="21"/>
      <c r="CS714" s="21"/>
      <c r="CT714" s="21"/>
      <c r="CU714" s="21"/>
      <c r="CV714" s="21"/>
      <c r="CW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21"/>
      <c r="BT715" s="21"/>
      <c r="BU715" s="21"/>
      <c r="BV715" s="21"/>
      <c r="BW715" s="21"/>
      <c r="BX715" s="21"/>
      <c r="BY715" s="21"/>
      <c r="BZ715" s="21"/>
      <c r="CA715" s="21"/>
      <c r="CB715" s="21"/>
      <c r="CC715" s="21"/>
      <c r="CD715" s="21"/>
      <c r="CE715" s="21"/>
      <c r="CF715" s="21"/>
      <c r="CG715" s="21"/>
      <c r="CH715" s="21"/>
      <c r="CI715" s="21"/>
      <c r="CJ715" s="21"/>
      <c r="CK715" s="21"/>
      <c r="CL715" s="21"/>
      <c r="CM715" s="21"/>
      <c r="CN715" s="21"/>
      <c r="CO715" s="21"/>
      <c r="CP715" s="21"/>
      <c r="CQ715" s="21"/>
      <c r="CR715" s="21"/>
      <c r="CS715" s="21"/>
      <c r="CT715" s="21"/>
      <c r="CU715" s="21"/>
      <c r="CV715" s="21"/>
      <c r="CW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21"/>
      <c r="BT716" s="21"/>
      <c r="BU716" s="21"/>
      <c r="BV716" s="21"/>
      <c r="BW716" s="21"/>
      <c r="BX716" s="21"/>
      <c r="BY716" s="21"/>
      <c r="BZ716" s="21"/>
      <c r="CA716" s="21"/>
      <c r="CB716" s="21"/>
      <c r="CC716" s="21"/>
      <c r="CD716" s="21"/>
      <c r="CE716" s="21"/>
      <c r="CF716" s="21"/>
      <c r="CG716" s="21"/>
      <c r="CH716" s="21"/>
      <c r="CI716" s="21"/>
      <c r="CJ716" s="21"/>
      <c r="CK716" s="21"/>
      <c r="CL716" s="21"/>
      <c r="CM716" s="21"/>
      <c r="CN716" s="21"/>
      <c r="CO716" s="21"/>
      <c r="CP716" s="21"/>
      <c r="CQ716" s="21"/>
      <c r="CR716" s="21"/>
      <c r="CS716" s="21"/>
      <c r="CT716" s="21"/>
      <c r="CU716" s="21"/>
      <c r="CV716" s="21"/>
      <c r="CW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21"/>
      <c r="BT717" s="21"/>
      <c r="BU717" s="21"/>
      <c r="BV717" s="21"/>
      <c r="BW717" s="21"/>
      <c r="BX717" s="21"/>
      <c r="BY717" s="21"/>
      <c r="BZ717" s="21"/>
      <c r="CA717" s="21"/>
      <c r="CB717" s="21"/>
      <c r="CC717" s="21"/>
      <c r="CD717" s="21"/>
      <c r="CE717" s="21"/>
      <c r="CF717" s="21"/>
      <c r="CG717" s="21"/>
      <c r="CH717" s="21"/>
      <c r="CI717" s="21"/>
      <c r="CJ717" s="21"/>
      <c r="CK717" s="21"/>
      <c r="CL717" s="21"/>
      <c r="CM717" s="21"/>
      <c r="CN717" s="21"/>
      <c r="CO717" s="21"/>
      <c r="CP717" s="21"/>
      <c r="CQ717" s="21"/>
      <c r="CR717" s="21"/>
      <c r="CS717" s="21"/>
      <c r="CT717" s="21"/>
      <c r="CU717" s="21"/>
      <c r="CV717" s="21"/>
      <c r="CW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21"/>
      <c r="BT718" s="21"/>
      <c r="BU718" s="21"/>
      <c r="BV718" s="21"/>
      <c r="BW718" s="21"/>
      <c r="BX718" s="21"/>
      <c r="BY718" s="21"/>
      <c r="BZ718" s="21"/>
      <c r="CA718" s="21"/>
      <c r="CB718" s="21"/>
      <c r="CC718" s="21"/>
      <c r="CD718" s="21"/>
      <c r="CE718" s="21"/>
      <c r="CF718" s="21"/>
      <c r="CG718" s="21"/>
      <c r="CH718" s="21"/>
      <c r="CI718" s="21"/>
      <c r="CJ718" s="21"/>
      <c r="CK718" s="21"/>
      <c r="CL718" s="21"/>
      <c r="CM718" s="21"/>
      <c r="CN718" s="21"/>
      <c r="CO718" s="21"/>
      <c r="CP718" s="21"/>
      <c r="CQ718" s="21"/>
      <c r="CR718" s="21"/>
      <c r="CS718" s="21"/>
      <c r="CT718" s="21"/>
      <c r="CU718" s="21"/>
      <c r="CV718" s="21"/>
      <c r="CW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21"/>
      <c r="BT719" s="21"/>
      <c r="BU719" s="21"/>
      <c r="BV719" s="21"/>
      <c r="BW719" s="21"/>
      <c r="BX719" s="21"/>
      <c r="BY719" s="21"/>
      <c r="BZ719" s="21"/>
      <c r="CA719" s="21"/>
      <c r="CB719" s="21"/>
      <c r="CC719" s="21"/>
      <c r="CD719" s="21"/>
      <c r="CE719" s="21"/>
      <c r="CF719" s="21"/>
      <c r="CG719" s="21"/>
      <c r="CH719" s="21"/>
      <c r="CI719" s="21"/>
      <c r="CJ719" s="21"/>
      <c r="CK719" s="21"/>
      <c r="CL719" s="21"/>
      <c r="CM719" s="21"/>
      <c r="CN719" s="21"/>
      <c r="CO719" s="21"/>
      <c r="CP719" s="21"/>
      <c r="CQ719" s="21"/>
      <c r="CR719" s="21"/>
      <c r="CS719" s="21"/>
      <c r="CT719" s="21"/>
      <c r="CU719" s="21"/>
      <c r="CV719" s="21"/>
      <c r="CW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21"/>
      <c r="BT720" s="21"/>
      <c r="BU720" s="21"/>
      <c r="BV720" s="21"/>
      <c r="BW720" s="21"/>
      <c r="BX720" s="21"/>
      <c r="BY720" s="21"/>
      <c r="BZ720" s="21"/>
      <c r="CA720" s="21"/>
      <c r="CB720" s="21"/>
      <c r="CC720" s="21"/>
      <c r="CD720" s="21"/>
      <c r="CE720" s="21"/>
      <c r="CF720" s="21"/>
      <c r="CG720" s="21"/>
      <c r="CH720" s="21"/>
      <c r="CI720" s="21"/>
      <c r="CJ720" s="21"/>
      <c r="CK720" s="21"/>
      <c r="CL720" s="21"/>
      <c r="CM720" s="21"/>
      <c r="CN720" s="21"/>
      <c r="CO720" s="21"/>
      <c r="CP720" s="21"/>
      <c r="CQ720" s="21"/>
      <c r="CR720" s="21"/>
      <c r="CS720" s="21"/>
      <c r="CT720" s="21"/>
      <c r="CU720" s="21"/>
      <c r="CV720" s="21"/>
      <c r="CW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21"/>
      <c r="BT721" s="21"/>
      <c r="BU721" s="21"/>
      <c r="BV721" s="21"/>
      <c r="BW721" s="21"/>
      <c r="BX721" s="21"/>
      <c r="BY721" s="21"/>
      <c r="BZ721" s="21"/>
      <c r="CA721" s="21"/>
      <c r="CB721" s="21"/>
      <c r="CC721" s="21"/>
      <c r="CD721" s="21"/>
      <c r="CE721" s="21"/>
      <c r="CF721" s="21"/>
      <c r="CG721" s="21"/>
      <c r="CH721" s="21"/>
      <c r="CI721" s="21"/>
      <c r="CJ721" s="21"/>
      <c r="CK721" s="21"/>
      <c r="CL721" s="21"/>
      <c r="CM721" s="21"/>
      <c r="CN721" s="21"/>
      <c r="CO721" s="21"/>
      <c r="CP721" s="21"/>
      <c r="CQ721" s="21"/>
      <c r="CR721" s="21"/>
      <c r="CS721" s="21"/>
      <c r="CT721" s="21"/>
      <c r="CU721" s="21"/>
      <c r="CV721" s="21"/>
      <c r="CW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21"/>
      <c r="BT722" s="21"/>
      <c r="BU722" s="21"/>
      <c r="BV722" s="21"/>
      <c r="BW722" s="21"/>
      <c r="BX722" s="21"/>
      <c r="BY722" s="21"/>
      <c r="BZ722" s="21"/>
      <c r="CA722" s="21"/>
      <c r="CB722" s="21"/>
      <c r="CC722" s="21"/>
      <c r="CD722" s="21"/>
      <c r="CE722" s="21"/>
      <c r="CF722" s="21"/>
      <c r="CG722" s="21"/>
      <c r="CH722" s="21"/>
      <c r="CI722" s="21"/>
      <c r="CJ722" s="21"/>
      <c r="CK722" s="21"/>
      <c r="CL722" s="21"/>
      <c r="CM722" s="21"/>
      <c r="CN722" s="21"/>
      <c r="CO722" s="21"/>
      <c r="CP722" s="21"/>
      <c r="CQ722" s="21"/>
      <c r="CR722" s="21"/>
      <c r="CS722" s="21"/>
      <c r="CT722" s="21"/>
      <c r="CU722" s="21"/>
      <c r="CV722" s="21"/>
      <c r="CW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21"/>
      <c r="BT723" s="21"/>
      <c r="BU723" s="21"/>
      <c r="BV723" s="21"/>
      <c r="BW723" s="21"/>
      <c r="BX723" s="21"/>
      <c r="BY723" s="21"/>
      <c r="BZ723" s="21"/>
      <c r="CA723" s="21"/>
      <c r="CB723" s="21"/>
      <c r="CC723" s="21"/>
      <c r="CD723" s="21"/>
      <c r="CE723" s="21"/>
      <c r="CF723" s="21"/>
      <c r="CG723" s="21"/>
      <c r="CH723" s="21"/>
      <c r="CI723" s="21"/>
      <c r="CJ723" s="21"/>
      <c r="CK723" s="21"/>
      <c r="CL723" s="21"/>
      <c r="CM723" s="21"/>
      <c r="CN723" s="21"/>
      <c r="CO723" s="21"/>
      <c r="CP723" s="21"/>
      <c r="CQ723" s="21"/>
      <c r="CR723" s="21"/>
      <c r="CS723" s="21"/>
      <c r="CT723" s="21"/>
      <c r="CU723" s="21"/>
      <c r="CV723" s="21"/>
      <c r="CW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21"/>
      <c r="BT724" s="21"/>
      <c r="BU724" s="21"/>
      <c r="BV724" s="21"/>
      <c r="BW724" s="21"/>
      <c r="BX724" s="21"/>
      <c r="BY724" s="21"/>
      <c r="BZ724" s="21"/>
      <c r="CA724" s="21"/>
      <c r="CB724" s="21"/>
      <c r="CC724" s="21"/>
      <c r="CD724" s="21"/>
      <c r="CE724" s="21"/>
      <c r="CF724" s="21"/>
      <c r="CG724" s="21"/>
      <c r="CH724" s="21"/>
      <c r="CI724" s="21"/>
      <c r="CJ724" s="21"/>
      <c r="CK724" s="21"/>
      <c r="CL724" s="21"/>
      <c r="CM724" s="21"/>
      <c r="CN724" s="21"/>
      <c r="CO724" s="21"/>
      <c r="CP724" s="21"/>
      <c r="CQ724" s="21"/>
      <c r="CR724" s="21"/>
      <c r="CS724" s="21"/>
      <c r="CT724" s="21"/>
      <c r="CU724" s="21"/>
      <c r="CV724" s="21"/>
      <c r="CW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21"/>
      <c r="BT725" s="21"/>
      <c r="BU725" s="21"/>
      <c r="BV725" s="21"/>
      <c r="BW725" s="21"/>
      <c r="BX725" s="21"/>
      <c r="BY725" s="21"/>
      <c r="BZ725" s="21"/>
      <c r="CA725" s="21"/>
      <c r="CB725" s="21"/>
      <c r="CC725" s="21"/>
      <c r="CD725" s="21"/>
      <c r="CE725" s="21"/>
      <c r="CF725" s="21"/>
      <c r="CG725" s="21"/>
      <c r="CH725" s="21"/>
      <c r="CI725" s="21"/>
      <c r="CJ725" s="21"/>
      <c r="CK725" s="21"/>
      <c r="CL725" s="21"/>
      <c r="CM725" s="21"/>
      <c r="CN725" s="21"/>
      <c r="CO725" s="21"/>
      <c r="CP725" s="21"/>
      <c r="CQ725" s="21"/>
      <c r="CR725" s="21"/>
      <c r="CS725" s="21"/>
      <c r="CT725" s="21"/>
      <c r="CU725" s="21"/>
      <c r="CV725" s="21"/>
      <c r="CW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21"/>
      <c r="BT726" s="21"/>
      <c r="BU726" s="21"/>
      <c r="BV726" s="21"/>
      <c r="BW726" s="21"/>
      <c r="BX726" s="21"/>
      <c r="BY726" s="21"/>
      <c r="BZ726" s="21"/>
      <c r="CA726" s="21"/>
      <c r="CB726" s="21"/>
      <c r="CC726" s="21"/>
      <c r="CD726" s="21"/>
      <c r="CE726" s="21"/>
      <c r="CF726" s="21"/>
      <c r="CG726" s="21"/>
      <c r="CH726" s="21"/>
      <c r="CI726" s="21"/>
      <c r="CJ726" s="21"/>
      <c r="CK726" s="21"/>
      <c r="CL726" s="21"/>
      <c r="CM726" s="21"/>
      <c r="CN726" s="21"/>
      <c r="CO726" s="21"/>
      <c r="CP726" s="21"/>
      <c r="CQ726" s="21"/>
      <c r="CR726" s="21"/>
      <c r="CS726" s="21"/>
      <c r="CT726" s="21"/>
      <c r="CU726" s="21"/>
      <c r="CV726" s="21"/>
      <c r="CW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21"/>
      <c r="BT727" s="21"/>
      <c r="BU727" s="21"/>
      <c r="BV727" s="21"/>
      <c r="BW727" s="21"/>
      <c r="BX727" s="21"/>
      <c r="BY727" s="21"/>
      <c r="BZ727" s="21"/>
      <c r="CA727" s="21"/>
      <c r="CB727" s="21"/>
      <c r="CC727" s="21"/>
      <c r="CD727" s="21"/>
      <c r="CE727" s="21"/>
      <c r="CF727" s="21"/>
      <c r="CG727" s="21"/>
      <c r="CH727" s="21"/>
      <c r="CI727" s="21"/>
      <c r="CJ727" s="21"/>
      <c r="CK727" s="21"/>
      <c r="CL727" s="21"/>
      <c r="CM727" s="21"/>
      <c r="CN727" s="21"/>
      <c r="CO727" s="21"/>
      <c r="CP727" s="21"/>
      <c r="CQ727" s="21"/>
      <c r="CR727" s="21"/>
      <c r="CS727" s="21"/>
      <c r="CT727" s="21"/>
      <c r="CU727" s="21"/>
      <c r="CV727" s="21"/>
      <c r="CW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21"/>
      <c r="BT728" s="21"/>
      <c r="BU728" s="21"/>
      <c r="BV728" s="21"/>
      <c r="BW728" s="21"/>
      <c r="BX728" s="21"/>
      <c r="BY728" s="21"/>
      <c r="BZ728" s="21"/>
      <c r="CA728" s="21"/>
      <c r="CB728" s="21"/>
      <c r="CC728" s="21"/>
      <c r="CD728" s="21"/>
      <c r="CE728" s="21"/>
      <c r="CF728" s="21"/>
      <c r="CG728" s="21"/>
      <c r="CH728" s="21"/>
      <c r="CI728" s="21"/>
      <c r="CJ728" s="21"/>
      <c r="CK728" s="21"/>
      <c r="CL728" s="21"/>
      <c r="CM728" s="21"/>
      <c r="CN728" s="21"/>
      <c r="CO728" s="21"/>
      <c r="CP728" s="21"/>
      <c r="CQ728" s="21"/>
      <c r="CR728" s="21"/>
      <c r="CS728" s="21"/>
      <c r="CT728" s="21"/>
      <c r="CU728" s="21"/>
      <c r="CV728" s="21"/>
      <c r="CW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21"/>
      <c r="BT729" s="21"/>
      <c r="BU729" s="21"/>
      <c r="BV729" s="21"/>
      <c r="BW729" s="21"/>
      <c r="BX729" s="21"/>
      <c r="BY729" s="21"/>
      <c r="BZ729" s="21"/>
      <c r="CA729" s="21"/>
      <c r="CB729" s="21"/>
      <c r="CC729" s="21"/>
      <c r="CD729" s="21"/>
      <c r="CE729" s="21"/>
      <c r="CF729" s="21"/>
      <c r="CG729" s="21"/>
      <c r="CH729" s="21"/>
      <c r="CI729" s="21"/>
      <c r="CJ729" s="21"/>
      <c r="CK729" s="21"/>
      <c r="CL729" s="21"/>
      <c r="CM729" s="21"/>
      <c r="CN729" s="21"/>
      <c r="CO729" s="21"/>
      <c r="CP729" s="21"/>
      <c r="CQ729" s="21"/>
      <c r="CR729" s="21"/>
      <c r="CS729" s="21"/>
      <c r="CT729" s="21"/>
      <c r="CU729" s="21"/>
      <c r="CV729" s="21"/>
      <c r="CW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21"/>
      <c r="BT730" s="21"/>
      <c r="BU730" s="21"/>
      <c r="BV730" s="21"/>
      <c r="BW730" s="21"/>
      <c r="BX730" s="21"/>
      <c r="BY730" s="21"/>
      <c r="BZ730" s="21"/>
      <c r="CA730" s="21"/>
      <c r="CB730" s="21"/>
      <c r="CC730" s="21"/>
      <c r="CD730" s="21"/>
      <c r="CE730" s="21"/>
      <c r="CF730" s="21"/>
      <c r="CG730" s="21"/>
      <c r="CH730" s="21"/>
      <c r="CI730" s="21"/>
      <c r="CJ730" s="21"/>
      <c r="CK730" s="21"/>
      <c r="CL730" s="21"/>
      <c r="CM730" s="21"/>
      <c r="CN730" s="21"/>
      <c r="CO730" s="21"/>
      <c r="CP730" s="21"/>
      <c r="CQ730" s="21"/>
      <c r="CR730" s="21"/>
      <c r="CS730" s="21"/>
      <c r="CT730" s="21"/>
      <c r="CU730" s="21"/>
      <c r="CV730" s="21"/>
      <c r="CW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21"/>
      <c r="BT731" s="21"/>
      <c r="BU731" s="21"/>
      <c r="BV731" s="21"/>
      <c r="BW731" s="21"/>
      <c r="BX731" s="21"/>
      <c r="BY731" s="21"/>
      <c r="BZ731" s="21"/>
      <c r="CA731" s="21"/>
      <c r="CB731" s="21"/>
      <c r="CC731" s="21"/>
      <c r="CD731" s="21"/>
      <c r="CE731" s="21"/>
      <c r="CF731" s="21"/>
      <c r="CG731" s="21"/>
      <c r="CH731" s="21"/>
      <c r="CI731" s="21"/>
      <c r="CJ731" s="21"/>
      <c r="CK731" s="21"/>
      <c r="CL731" s="21"/>
      <c r="CM731" s="21"/>
      <c r="CN731" s="21"/>
      <c r="CO731" s="21"/>
      <c r="CP731" s="21"/>
      <c r="CQ731" s="21"/>
      <c r="CR731" s="21"/>
      <c r="CS731" s="21"/>
      <c r="CT731" s="21"/>
      <c r="CU731" s="21"/>
      <c r="CV731" s="21"/>
      <c r="CW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21"/>
      <c r="BT732" s="21"/>
      <c r="BU732" s="21"/>
      <c r="BV732" s="21"/>
      <c r="BW732" s="21"/>
      <c r="BX732" s="21"/>
      <c r="BY732" s="21"/>
      <c r="BZ732" s="21"/>
      <c r="CA732" s="21"/>
      <c r="CB732" s="21"/>
      <c r="CC732" s="21"/>
      <c r="CD732" s="21"/>
      <c r="CE732" s="21"/>
      <c r="CF732" s="21"/>
      <c r="CG732" s="21"/>
      <c r="CH732" s="21"/>
      <c r="CI732" s="21"/>
      <c r="CJ732" s="21"/>
      <c r="CK732" s="21"/>
      <c r="CL732" s="21"/>
      <c r="CM732" s="21"/>
      <c r="CN732" s="21"/>
      <c r="CO732" s="21"/>
      <c r="CP732" s="21"/>
      <c r="CQ732" s="21"/>
      <c r="CR732" s="21"/>
      <c r="CS732" s="21"/>
      <c r="CT732" s="21"/>
      <c r="CU732" s="21"/>
      <c r="CV732" s="21"/>
      <c r="CW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21"/>
      <c r="BT733" s="21"/>
      <c r="BU733" s="21"/>
      <c r="BV733" s="21"/>
      <c r="BW733" s="21"/>
      <c r="BX733" s="21"/>
      <c r="BY733" s="21"/>
      <c r="BZ733" s="21"/>
      <c r="CA733" s="21"/>
      <c r="CB733" s="21"/>
      <c r="CC733" s="21"/>
      <c r="CD733" s="21"/>
      <c r="CE733" s="21"/>
      <c r="CF733" s="21"/>
      <c r="CG733" s="21"/>
      <c r="CH733" s="21"/>
      <c r="CI733" s="21"/>
      <c r="CJ733" s="21"/>
      <c r="CK733" s="21"/>
      <c r="CL733" s="21"/>
      <c r="CM733" s="21"/>
      <c r="CN733" s="21"/>
      <c r="CO733" s="21"/>
      <c r="CP733" s="21"/>
      <c r="CQ733" s="21"/>
      <c r="CR733" s="21"/>
      <c r="CS733" s="21"/>
      <c r="CT733" s="21"/>
      <c r="CU733" s="21"/>
      <c r="CV733" s="21"/>
      <c r="CW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21"/>
      <c r="BT734" s="21"/>
      <c r="BU734" s="21"/>
      <c r="BV734" s="21"/>
      <c r="BW734" s="21"/>
      <c r="BX734" s="21"/>
      <c r="BY734" s="21"/>
      <c r="BZ734" s="21"/>
      <c r="CA734" s="21"/>
      <c r="CB734" s="21"/>
      <c r="CC734" s="21"/>
      <c r="CD734" s="21"/>
      <c r="CE734" s="21"/>
      <c r="CF734" s="21"/>
      <c r="CG734" s="21"/>
      <c r="CH734" s="21"/>
      <c r="CI734" s="21"/>
      <c r="CJ734" s="21"/>
      <c r="CK734" s="21"/>
      <c r="CL734" s="21"/>
      <c r="CM734" s="21"/>
      <c r="CN734" s="21"/>
      <c r="CO734" s="21"/>
      <c r="CP734" s="21"/>
      <c r="CQ734" s="21"/>
      <c r="CR734" s="21"/>
      <c r="CS734" s="21"/>
      <c r="CT734" s="21"/>
      <c r="CU734" s="21"/>
      <c r="CV734" s="21"/>
      <c r="CW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21"/>
      <c r="BT735" s="21"/>
      <c r="BU735" s="21"/>
      <c r="BV735" s="21"/>
      <c r="BW735" s="21"/>
      <c r="BX735" s="21"/>
      <c r="BY735" s="21"/>
      <c r="BZ735" s="21"/>
      <c r="CA735" s="21"/>
      <c r="CB735" s="21"/>
      <c r="CC735" s="21"/>
      <c r="CD735" s="21"/>
      <c r="CE735" s="21"/>
      <c r="CF735" s="21"/>
      <c r="CG735" s="21"/>
      <c r="CH735" s="21"/>
      <c r="CI735" s="21"/>
      <c r="CJ735" s="21"/>
      <c r="CK735" s="21"/>
      <c r="CL735" s="21"/>
      <c r="CM735" s="21"/>
      <c r="CN735" s="21"/>
      <c r="CO735" s="21"/>
      <c r="CP735" s="21"/>
      <c r="CQ735" s="21"/>
      <c r="CR735" s="21"/>
      <c r="CS735" s="21"/>
      <c r="CT735" s="21"/>
      <c r="CU735" s="21"/>
      <c r="CV735" s="21"/>
      <c r="CW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21"/>
      <c r="BT736" s="21"/>
      <c r="BU736" s="21"/>
      <c r="BV736" s="21"/>
      <c r="BW736" s="21"/>
      <c r="BX736" s="21"/>
      <c r="BY736" s="21"/>
      <c r="BZ736" s="21"/>
      <c r="CA736" s="21"/>
      <c r="CB736" s="21"/>
      <c r="CC736" s="21"/>
      <c r="CD736" s="21"/>
      <c r="CE736" s="21"/>
      <c r="CF736" s="21"/>
      <c r="CG736" s="21"/>
      <c r="CH736" s="21"/>
      <c r="CI736" s="21"/>
      <c r="CJ736" s="21"/>
      <c r="CK736" s="21"/>
      <c r="CL736" s="21"/>
      <c r="CM736" s="21"/>
      <c r="CN736" s="21"/>
      <c r="CO736" s="21"/>
      <c r="CP736" s="21"/>
      <c r="CQ736" s="21"/>
      <c r="CR736" s="21"/>
      <c r="CS736" s="21"/>
      <c r="CT736" s="21"/>
      <c r="CU736" s="21"/>
      <c r="CV736" s="21"/>
      <c r="CW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21"/>
      <c r="BT737" s="21"/>
      <c r="BU737" s="21"/>
      <c r="BV737" s="21"/>
      <c r="BW737" s="21"/>
      <c r="BX737" s="21"/>
      <c r="BY737" s="21"/>
      <c r="BZ737" s="21"/>
      <c r="CA737" s="21"/>
      <c r="CB737" s="21"/>
      <c r="CC737" s="21"/>
      <c r="CD737" s="21"/>
      <c r="CE737" s="21"/>
      <c r="CF737" s="21"/>
      <c r="CG737" s="21"/>
      <c r="CH737" s="21"/>
      <c r="CI737" s="21"/>
      <c r="CJ737" s="21"/>
      <c r="CK737" s="21"/>
      <c r="CL737" s="21"/>
      <c r="CM737" s="21"/>
      <c r="CN737" s="21"/>
      <c r="CO737" s="21"/>
      <c r="CP737" s="21"/>
      <c r="CQ737" s="21"/>
      <c r="CR737" s="21"/>
      <c r="CS737" s="21"/>
      <c r="CT737" s="21"/>
      <c r="CU737" s="21"/>
      <c r="CV737" s="21"/>
      <c r="CW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21"/>
      <c r="BT738" s="21"/>
      <c r="BU738" s="21"/>
      <c r="BV738" s="21"/>
      <c r="BW738" s="21"/>
      <c r="BX738" s="21"/>
      <c r="BY738" s="21"/>
      <c r="BZ738" s="21"/>
      <c r="CA738" s="21"/>
      <c r="CB738" s="21"/>
      <c r="CC738" s="21"/>
      <c r="CD738" s="21"/>
      <c r="CE738" s="21"/>
      <c r="CF738" s="21"/>
      <c r="CG738" s="21"/>
      <c r="CH738" s="21"/>
      <c r="CI738" s="21"/>
      <c r="CJ738" s="21"/>
      <c r="CK738" s="21"/>
      <c r="CL738" s="21"/>
      <c r="CM738" s="21"/>
      <c r="CN738" s="21"/>
      <c r="CO738" s="21"/>
      <c r="CP738" s="21"/>
      <c r="CQ738" s="21"/>
      <c r="CR738" s="21"/>
      <c r="CS738" s="21"/>
      <c r="CT738" s="21"/>
      <c r="CU738" s="21"/>
      <c r="CV738" s="21"/>
      <c r="CW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21"/>
      <c r="BT739" s="21"/>
      <c r="BU739" s="21"/>
      <c r="BV739" s="21"/>
      <c r="BW739" s="21"/>
      <c r="BX739" s="21"/>
      <c r="BY739" s="21"/>
      <c r="BZ739" s="21"/>
      <c r="CA739" s="21"/>
      <c r="CB739" s="21"/>
      <c r="CC739" s="21"/>
      <c r="CD739" s="21"/>
      <c r="CE739" s="21"/>
      <c r="CF739" s="21"/>
      <c r="CG739" s="21"/>
      <c r="CH739" s="21"/>
      <c r="CI739" s="21"/>
      <c r="CJ739" s="21"/>
      <c r="CK739" s="21"/>
      <c r="CL739" s="21"/>
      <c r="CM739" s="21"/>
      <c r="CN739" s="21"/>
      <c r="CO739" s="21"/>
      <c r="CP739" s="21"/>
      <c r="CQ739" s="21"/>
      <c r="CR739" s="21"/>
      <c r="CS739" s="21"/>
      <c r="CT739" s="21"/>
      <c r="CU739" s="21"/>
      <c r="CV739" s="21"/>
      <c r="CW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21"/>
      <c r="BT740" s="21"/>
      <c r="BU740" s="21"/>
      <c r="BV740" s="21"/>
      <c r="BW740" s="21"/>
      <c r="BX740" s="21"/>
      <c r="BY740" s="21"/>
      <c r="BZ740" s="21"/>
      <c r="CA740" s="21"/>
      <c r="CB740" s="21"/>
      <c r="CC740" s="21"/>
      <c r="CD740" s="21"/>
      <c r="CE740" s="21"/>
      <c r="CF740" s="21"/>
      <c r="CG740" s="21"/>
      <c r="CH740" s="21"/>
      <c r="CI740" s="21"/>
      <c r="CJ740" s="21"/>
      <c r="CK740" s="21"/>
      <c r="CL740" s="21"/>
      <c r="CM740" s="21"/>
      <c r="CN740" s="21"/>
      <c r="CO740" s="21"/>
      <c r="CP740" s="21"/>
      <c r="CQ740" s="21"/>
      <c r="CR740" s="21"/>
      <c r="CS740" s="21"/>
      <c r="CT740" s="21"/>
      <c r="CU740" s="21"/>
      <c r="CV740" s="21"/>
      <c r="CW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21"/>
      <c r="BT741" s="21"/>
      <c r="BU741" s="21"/>
      <c r="BV741" s="21"/>
      <c r="BW741" s="21"/>
      <c r="BX741" s="21"/>
      <c r="BY741" s="21"/>
      <c r="BZ741" s="21"/>
      <c r="CA741" s="21"/>
      <c r="CB741" s="21"/>
      <c r="CC741" s="21"/>
      <c r="CD741" s="21"/>
      <c r="CE741" s="21"/>
      <c r="CF741" s="21"/>
      <c r="CG741" s="21"/>
      <c r="CH741" s="21"/>
      <c r="CI741" s="21"/>
      <c r="CJ741" s="21"/>
      <c r="CK741" s="21"/>
      <c r="CL741" s="21"/>
      <c r="CM741" s="21"/>
      <c r="CN741" s="21"/>
      <c r="CO741" s="21"/>
      <c r="CP741" s="21"/>
      <c r="CQ741" s="21"/>
      <c r="CR741" s="21"/>
      <c r="CS741" s="21"/>
      <c r="CT741" s="21"/>
      <c r="CU741" s="21"/>
      <c r="CV741" s="21"/>
      <c r="CW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21"/>
      <c r="BT742" s="21"/>
      <c r="BU742" s="21"/>
      <c r="BV742" s="21"/>
      <c r="BW742" s="21"/>
      <c r="BX742" s="21"/>
      <c r="BY742" s="21"/>
      <c r="BZ742" s="21"/>
      <c r="CA742" s="21"/>
      <c r="CB742" s="21"/>
      <c r="CC742" s="21"/>
      <c r="CD742" s="21"/>
      <c r="CE742" s="21"/>
      <c r="CF742" s="21"/>
      <c r="CG742" s="21"/>
      <c r="CH742" s="21"/>
      <c r="CI742" s="21"/>
      <c r="CJ742" s="21"/>
      <c r="CK742" s="21"/>
      <c r="CL742" s="21"/>
      <c r="CM742" s="21"/>
      <c r="CN742" s="21"/>
      <c r="CO742" s="21"/>
      <c r="CP742" s="21"/>
      <c r="CQ742" s="21"/>
      <c r="CR742" s="21"/>
      <c r="CS742" s="21"/>
      <c r="CT742" s="21"/>
      <c r="CU742" s="21"/>
      <c r="CV742" s="21"/>
      <c r="CW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21"/>
      <c r="BT743" s="21"/>
      <c r="BU743" s="21"/>
      <c r="BV743" s="21"/>
      <c r="BW743" s="21"/>
      <c r="BX743" s="21"/>
      <c r="BY743" s="21"/>
      <c r="BZ743" s="21"/>
      <c r="CA743" s="21"/>
      <c r="CB743" s="21"/>
      <c r="CC743" s="21"/>
      <c r="CD743" s="21"/>
      <c r="CE743" s="21"/>
      <c r="CF743" s="21"/>
      <c r="CG743" s="21"/>
      <c r="CH743" s="21"/>
      <c r="CI743" s="21"/>
      <c r="CJ743" s="21"/>
      <c r="CK743" s="21"/>
      <c r="CL743" s="21"/>
      <c r="CM743" s="21"/>
      <c r="CN743" s="21"/>
      <c r="CO743" s="21"/>
      <c r="CP743" s="21"/>
      <c r="CQ743" s="21"/>
      <c r="CR743" s="21"/>
      <c r="CS743" s="21"/>
      <c r="CT743" s="21"/>
      <c r="CU743" s="21"/>
      <c r="CV743" s="21"/>
      <c r="CW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21"/>
      <c r="BT744" s="21"/>
      <c r="BU744" s="21"/>
      <c r="BV744" s="21"/>
      <c r="BW744" s="21"/>
      <c r="BX744" s="21"/>
      <c r="BY744" s="21"/>
      <c r="BZ744" s="21"/>
      <c r="CA744" s="21"/>
      <c r="CB744" s="21"/>
      <c r="CC744" s="21"/>
      <c r="CD744" s="21"/>
      <c r="CE744" s="21"/>
      <c r="CF744" s="21"/>
      <c r="CG744" s="21"/>
      <c r="CH744" s="21"/>
      <c r="CI744" s="21"/>
      <c r="CJ744" s="21"/>
      <c r="CK744" s="21"/>
      <c r="CL744" s="21"/>
      <c r="CM744" s="21"/>
      <c r="CN744" s="21"/>
      <c r="CO744" s="21"/>
      <c r="CP744" s="21"/>
      <c r="CQ744" s="21"/>
      <c r="CR744" s="21"/>
      <c r="CS744" s="21"/>
      <c r="CT744" s="21"/>
      <c r="CU744" s="21"/>
      <c r="CV744" s="21"/>
      <c r="CW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21"/>
      <c r="BT745" s="21"/>
      <c r="BU745" s="21"/>
      <c r="BV745" s="21"/>
      <c r="BW745" s="21"/>
      <c r="BX745" s="21"/>
      <c r="BY745" s="21"/>
      <c r="BZ745" s="21"/>
      <c r="CA745" s="21"/>
      <c r="CB745" s="21"/>
      <c r="CC745" s="21"/>
      <c r="CD745" s="21"/>
      <c r="CE745" s="21"/>
      <c r="CF745" s="21"/>
      <c r="CG745" s="21"/>
      <c r="CH745" s="21"/>
      <c r="CI745" s="21"/>
      <c r="CJ745" s="21"/>
      <c r="CK745" s="21"/>
      <c r="CL745" s="21"/>
      <c r="CM745" s="21"/>
      <c r="CN745" s="21"/>
      <c r="CO745" s="21"/>
      <c r="CP745" s="21"/>
      <c r="CQ745" s="21"/>
      <c r="CR745" s="21"/>
      <c r="CS745" s="21"/>
      <c r="CT745" s="21"/>
      <c r="CU745" s="21"/>
      <c r="CV745" s="21"/>
      <c r="CW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21"/>
      <c r="BT746" s="21"/>
      <c r="BU746" s="21"/>
      <c r="BV746" s="21"/>
      <c r="BW746" s="21"/>
      <c r="BX746" s="21"/>
      <c r="BY746" s="21"/>
      <c r="BZ746" s="21"/>
      <c r="CA746" s="21"/>
      <c r="CB746" s="21"/>
      <c r="CC746" s="21"/>
      <c r="CD746" s="21"/>
      <c r="CE746" s="21"/>
      <c r="CF746" s="21"/>
      <c r="CG746" s="21"/>
      <c r="CH746" s="21"/>
      <c r="CI746" s="21"/>
      <c r="CJ746" s="21"/>
      <c r="CK746" s="21"/>
      <c r="CL746" s="21"/>
      <c r="CM746" s="21"/>
      <c r="CN746" s="21"/>
      <c r="CO746" s="21"/>
      <c r="CP746" s="21"/>
      <c r="CQ746" s="21"/>
      <c r="CR746" s="21"/>
      <c r="CS746" s="21"/>
      <c r="CT746" s="21"/>
      <c r="CU746" s="21"/>
      <c r="CV746" s="21"/>
      <c r="CW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21"/>
      <c r="BT747" s="21"/>
      <c r="BU747" s="21"/>
      <c r="BV747" s="21"/>
      <c r="BW747" s="21"/>
      <c r="BX747" s="21"/>
      <c r="BY747" s="21"/>
      <c r="BZ747" s="21"/>
      <c r="CA747" s="21"/>
      <c r="CB747" s="21"/>
      <c r="CC747" s="21"/>
      <c r="CD747" s="21"/>
      <c r="CE747" s="21"/>
      <c r="CF747" s="21"/>
      <c r="CG747" s="21"/>
      <c r="CH747" s="21"/>
      <c r="CI747" s="21"/>
      <c r="CJ747" s="21"/>
      <c r="CK747" s="21"/>
      <c r="CL747" s="21"/>
      <c r="CM747" s="21"/>
      <c r="CN747" s="21"/>
      <c r="CO747" s="21"/>
      <c r="CP747" s="21"/>
      <c r="CQ747" s="21"/>
      <c r="CR747" s="21"/>
      <c r="CS747" s="21"/>
      <c r="CT747" s="21"/>
      <c r="CU747" s="21"/>
      <c r="CV747" s="21"/>
      <c r="CW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21"/>
      <c r="BT748" s="21"/>
      <c r="BU748" s="21"/>
      <c r="BV748" s="21"/>
      <c r="BW748" s="21"/>
      <c r="BX748" s="21"/>
      <c r="BY748" s="21"/>
      <c r="BZ748" s="21"/>
      <c r="CA748" s="21"/>
      <c r="CB748" s="21"/>
      <c r="CC748" s="21"/>
      <c r="CD748" s="21"/>
      <c r="CE748" s="21"/>
      <c r="CF748" s="21"/>
      <c r="CG748" s="21"/>
      <c r="CH748" s="21"/>
      <c r="CI748" s="21"/>
      <c r="CJ748" s="21"/>
      <c r="CK748" s="21"/>
      <c r="CL748" s="21"/>
      <c r="CM748" s="21"/>
      <c r="CN748" s="21"/>
      <c r="CO748" s="21"/>
      <c r="CP748" s="21"/>
      <c r="CQ748" s="21"/>
      <c r="CR748" s="21"/>
      <c r="CS748" s="21"/>
      <c r="CT748" s="21"/>
      <c r="CU748" s="21"/>
      <c r="CV748" s="21"/>
      <c r="CW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21"/>
      <c r="BT749" s="21"/>
      <c r="BU749" s="21"/>
      <c r="BV749" s="21"/>
      <c r="BW749" s="21"/>
      <c r="BX749" s="21"/>
      <c r="BY749" s="21"/>
      <c r="BZ749" s="21"/>
      <c r="CA749" s="21"/>
      <c r="CB749" s="21"/>
      <c r="CC749" s="21"/>
      <c r="CD749" s="21"/>
      <c r="CE749" s="21"/>
      <c r="CF749" s="21"/>
      <c r="CG749" s="21"/>
      <c r="CH749" s="21"/>
      <c r="CI749" s="21"/>
      <c r="CJ749" s="21"/>
      <c r="CK749" s="21"/>
      <c r="CL749" s="21"/>
      <c r="CM749" s="21"/>
      <c r="CN749" s="21"/>
      <c r="CO749" s="21"/>
      <c r="CP749" s="21"/>
      <c r="CQ749" s="21"/>
      <c r="CR749" s="21"/>
      <c r="CS749" s="21"/>
      <c r="CT749" s="21"/>
      <c r="CU749" s="21"/>
      <c r="CV749" s="21"/>
      <c r="CW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21"/>
      <c r="BT750" s="21"/>
      <c r="BU750" s="21"/>
      <c r="BV750" s="21"/>
      <c r="BW750" s="21"/>
      <c r="BX750" s="21"/>
      <c r="BY750" s="21"/>
      <c r="BZ750" s="21"/>
      <c r="CA750" s="21"/>
      <c r="CB750" s="21"/>
      <c r="CC750" s="21"/>
      <c r="CD750" s="21"/>
      <c r="CE750" s="21"/>
      <c r="CF750" s="21"/>
      <c r="CG750" s="21"/>
      <c r="CH750" s="21"/>
      <c r="CI750" s="21"/>
      <c r="CJ750" s="21"/>
      <c r="CK750" s="21"/>
      <c r="CL750" s="21"/>
      <c r="CM750" s="21"/>
      <c r="CN750" s="21"/>
      <c r="CO750" s="21"/>
      <c r="CP750" s="21"/>
      <c r="CQ750" s="21"/>
      <c r="CR750" s="21"/>
      <c r="CS750" s="21"/>
      <c r="CT750" s="21"/>
      <c r="CU750" s="21"/>
      <c r="CV750" s="21"/>
      <c r="CW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21"/>
      <c r="BT751" s="21"/>
      <c r="BU751" s="21"/>
      <c r="BV751" s="21"/>
      <c r="BW751" s="21"/>
      <c r="BX751" s="21"/>
      <c r="BY751" s="21"/>
      <c r="BZ751" s="21"/>
      <c r="CA751" s="21"/>
      <c r="CB751" s="21"/>
      <c r="CC751" s="21"/>
      <c r="CD751" s="21"/>
      <c r="CE751" s="21"/>
      <c r="CF751" s="21"/>
      <c r="CG751" s="21"/>
      <c r="CH751" s="21"/>
      <c r="CI751" s="21"/>
      <c r="CJ751" s="21"/>
      <c r="CK751" s="21"/>
      <c r="CL751" s="21"/>
      <c r="CM751" s="21"/>
      <c r="CN751" s="21"/>
      <c r="CO751" s="21"/>
      <c r="CP751" s="21"/>
      <c r="CQ751" s="21"/>
      <c r="CR751" s="21"/>
      <c r="CS751" s="21"/>
      <c r="CT751" s="21"/>
      <c r="CU751" s="21"/>
      <c r="CV751" s="21"/>
      <c r="CW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21"/>
      <c r="BT752" s="21"/>
      <c r="BU752" s="21"/>
      <c r="BV752" s="21"/>
      <c r="BW752" s="21"/>
      <c r="BX752" s="21"/>
      <c r="BY752" s="21"/>
      <c r="BZ752" s="21"/>
      <c r="CA752" s="21"/>
      <c r="CB752" s="21"/>
      <c r="CC752" s="21"/>
      <c r="CD752" s="21"/>
      <c r="CE752" s="21"/>
      <c r="CF752" s="21"/>
      <c r="CG752" s="21"/>
      <c r="CH752" s="21"/>
      <c r="CI752" s="21"/>
      <c r="CJ752" s="21"/>
      <c r="CK752" s="21"/>
      <c r="CL752" s="21"/>
      <c r="CM752" s="21"/>
      <c r="CN752" s="21"/>
      <c r="CO752" s="21"/>
      <c r="CP752" s="21"/>
      <c r="CQ752" s="21"/>
      <c r="CR752" s="21"/>
      <c r="CS752" s="21"/>
      <c r="CT752" s="21"/>
      <c r="CU752" s="21"/>
      <c r="CV752" s="21"/>
      <c r="CW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21"/>
      <c r="BT753" s="21"/>
      <c r="BU753" s="21"/>
      <c r="BV753" s="21"/>
      <c r="BW753" s="21"/>
      <c r="BX753" s="21"/>
      <c r="BY753" s="21"/>
      <c r="BZ753" s="21"/>
      <c r="CA753" s="21"/>
      <c r="CB753" s="21"/>
      <c r="CC753" s="21"/>
      <c r="CD753" s="21"/>
      <c r="CE753" s="21"/>
      <c r="CF753" s="21"/>
      <c r="CG753" s="21"/>
      <c r="CH753" s="21"/>
      <c r="CI753" s="21"/>
      <c r="CJ753" s="21"/>
      <c r="CK753" s="21"/>
      <c r="CL753" s="21"/>
      <c r="CM753" s="21"/>
      <c r="CN753" s="21"/>
      <c r="CO753" s="21"/>
      <c r="CP753" s="21"/>
      <c r="CQ753" s="21"/>
      <c r="CR753" s="21"/>
      <c r="CS753" s="21"/>
      <c r="CT753" s="21"/>
      <c r="CU753" s="21"/>
      <c r="CV753" s="21"/>
      <c r="CW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21"/>
      <c r="BT754" s="21"/>
      <c r="BU754" s="21"/>
      <c r="BV754" s="21"/>
      <c r="BW754" s="21"/>
      <c r="BX754" s="21"/>
      <c r="BY754" s="21"/>
      <c r="BZ754" s="21"/>
      <c r="CA754" s="21"/>
      <c r="CB754" s="21"/>
      <c r="CC754" s="21"/>
      <c r="CD754" s="21"/>
      <c r="CE754" s="21"/>
      <c r="CF754" s="21"/>
      <c r="CG754" s="21"/>
      <c r="CH754" s="21"/>
      <c r="CI754" s="21"/>
      <c r="CJ754" s="21"/>
      <c r="CK754" s="21"/>
      <c r="CL754" s="21"/>
      <c r="CM754" s="21"/>
      <c r="CN754" s="21"/>
      <c r="CO754" s="21"/>
      <c r="CP754" s="21"/>
      <c r="CQ754" s="21"/>
      <c r="CR754" s="21"/>
      <c r="CS754" s="21"/>
      <c r="CT754" s="21"/>
      <c r="CU754" s="21"/>
      <c r="CV754" s="21"/>
      <c r="CW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21"/>
      <c r="BT755" s="21"/>
      <c r="BU755" s="21"/>
      <c r="BV755" s="21"/>
      <c r="BW755" s="21"/>
      <c r="BX755" s="21"/>
      <c r="BY755" s="21"/>
      <c r="BZ755" s="21"/>
      <c r="CA755" s="21"/>
      <c r="CB755" s="21"/>
      <c r="CC755" s="21"/>
      <c r="CD755" s="21"/>
      <c r="CE755" s="21"/>
      <c r="CF755" s="21"/>
      <c r="CG755" s="21"/>
      <c r="CH755" s="21"/>
      <c r="CI755" s="21"/>
      <c r="CJ755" s="21"/>
      <c r="CK755" s="21"/>
      <c r="CL755" s="21"/>
      <c r="CM755" s="21"/>
      <c r="CN755" s="21"/>
      <c r="CO755" s="21"/>
      <c r="CP755" s="21"/>
      <c r="CQ755" s="21"/>
      <c r="CR755" s="21"/>
      <c r="CS755" s="21"/>
      <c r="CT755" s="21"/>
      <c r="CU755" s="21"/>
      <c r="CV755" s="21"/>
      <c r="CW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21"/>
      <c r="BT756" s="21"/>
      <c r="BU756" s="21"/>
      <c r="BV756" s="21"/>
      <c r="BW756" s="21"/>
      <c r="BX756" s="21"/>
      <c r="BY756" s="21"/>
      <c r="BZ756" s="21"/>
      <c r="CA756" s="21"/>
      <c r="CB756" s="21"/>
      <c r="CC756" s="21"/>
      <c r="CD756" s="21"/>
      <c r="CE756" s="21"/>
      <c r="CF756" s="21"/>
      <c r="CG756" s="21"/>
      <c r="CH756" s="21"/>
      <c r="CI756" s="21"/>
      <c r="CJ756" s="21"/>
      <c r="CK756" s="21"/>
      <c r="CL756" s="21"/>
      <c r="CM756" s="21"/>
      <c r="CN756" s="21"/>
      <c r="CO756" s="21"/>
      <c r="CP756" s="21"/>
      <c r="CQ756" s="21"/>
      <c r="CR756" s="21"/>
      <c r="CS756" s="21"/>
      <c r="CT756" s="21"/>
      <c r="CU756" s="21"/>
      <c r="CV756" s="21"/>
      <c r="CW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21"/>
      <c r="BT757" s="21"/>
      <c r="BU757" s="21"/>
      <c r="BV757" s="21"/>
      <c r="BW757" s="21"/>
      <c r="BX757" s="21"/>
      <c r="BY757" s="21"/>
      <c r="BZ757" s="21"/>
      <c r="CA757" s="21"/>
      <c r="CB757" s="21"/>
      <c r="CC757" s="21"/>
      <c r="CD757" s="21"/>
      <c r="CE757" s="21"/>
      <c r="CF757" s="21"/>
      <c r="CG757" s="21"/>
      <c r="CH757" s="21"/>
      <c r="CI757" s="21"/>
      <c r="CJ757" s="21"/>
      <c r="CK757" s="21"/>
      <c r="CL757" s="21"/>
      <c r="CM757" s="21"/>
      <c r="CN757" s="21"/>
      <c r="CO757" s="21"/>
      <c r="CP757" s="21"/>
      <c r="CQ757" s="21"/>
      <c r="CR757" s="21"/>
      <c r="CS757" s="21"/>
      <c r="CT757" s="21"/>
      <c r="CU757" s="21"/>
      <c r="CV757" s="21"/>
      <c r="CW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21"/>
      <c r="BT758" s="21"/>
      <c r="BU758" s="21"/>
      <c r="BV758" s="21"/>
      <c r="BW758" s="21"/>
      <c r="BX758" s="21"/>
      <c r="BY758" s="21"/>
      <c r="BZ758" s="21"/>
      <c r="CA758" s="21"/>
      <c r="CB758" s="21"/>
      <c r="CC758" s="21"/>
      <c r="CD758" s="21"/>
      <c r="CE758" s="21"/>
      <c r="CF758" s="21"/>
      <c r="CG758" s="21"/>
      <c r="CH758" s="21"/>
      <c r="CI758" s="21"/>
      <c r="CJ758" s="21"/>
      <c r="CK758" s="21"/>
      <c r="CL758" s="21"/>
      <c r="CM758" s="21"/>
      <c r="CN758" s="21"/>
      <c r="CO758" s="21"/>
      <c r="CP758" s="21"/>
      <c r="CQ758" s="21"/>
      <c r="CR758" s="21"/>
      <c r="CS758" s="21"/>
      <c r="CT758" s="21"/>
      <c r="CU758" s="21"/>
      <c r="CV758" s="21"/>
      <c r="CW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21"/>
      <c r="BT759" s="21"/>
      <c r="BU759" s="21"/>
      <c r="BV759" s="21"/>
      <c r="BW759" s="21"/>
      <c r="BX759" s="21"/>
      <c r="BY759" s="21"/>
      <c r="BZ759" s="21"/>
      <c r="CA759" s="21"/>
      <c r="CB759" s="21"/>
      <c r="CC759" s="21"/>
      <c r="CD759" s="21"/>
      <c r="CE759" s="21"/>
      <c r="CF759" s="21"/>
      <c r="CG759" s="21"/>
      <c r="CH759" s="21"/>
      <c r="CI759" s="21"/>
      <c r="CJ759" s="21"/>
      <c r="CK759" s="21"/>
      <c r="CL759" s="21"/>
      <c r="CM759" s="21"/>
      <c r="CN759" s="21"/>
      <c r="CO759" s="21"/>
      <c r="CP759" s="21"/>
      <c r="CQ759" s="21"/>
      <c r="CR759" s="21"/>
      <c r="CS759" s="21"/>
      <c r="CT759" s="21"/>
      <c r="CU759" s="21"/>
      <c r="CV759" s="21"/>
      <c r="CW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21"/>
      <c r="BT760" s="21"/>
      <c r="BU760" s="21"/>
      <c r="BV760" s="21"/>
      <c r="BW760" s="21"/>
      <c r="BX760" s="21"/>
      <c r="BY760" s="21"/>
      <c r="BZ760" s="21"/>
      <c r="CA760" s="21"/>
      <c r="CB760" s="21"/>
      <c r="CC760" s="21"/>
      <c r="CD760" s="21"/>
      <c r="CE760" s="21"/>
      <c r="CF760" s="21"/>
      <c r="CG760" s="21"/>
      <c r="CH760" s="21"/>
      <c r="CI760" s="21"/>
      <c r="CJ760" s="21"/>
      <c r="CK760" s="21"/>
      <c r="CL760" s="21"/>
      <c r="CM760" s="21"/>
      <c r="CN760" s="21"/>
      <c r="CO760" s="21"/>
      <c r="CP760" s="21"/>
      <c r="CQ760" s="21"/>
      <c r="CR760" s="21"/>
      <c r="CS760" s="21"/>
      <c r="CT760" s="21"/>
      <c r="CU760" s="21"/>
      <c r="CV760" s="21"/>
      <c r="CW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21"/>
      <c r="BT761" s="21"/>
      <c r="BU761" s="21"/>
      <c r="BV761" s="21"/>
      <c r="BW761" s="21"/>
      <c r="BX761" s="21"/>
      <c r="BY761" s="21"/>
      <c r="BZ761" s="21"/>
      <c r="CA761" s="21"/>
      <c r="CB761" s="21"/>
      <c r="CC761" s="21"/>
      <c r="CD761" s="21"/>
      <c r="CE761" s="21"/>
      <c r="CF761" s="21"/>
      <c r="CG761" s="21"/>
      <c r="CH761" s="21"/>
      <c r="CI761" s="21"/>
      <c r="CJ761" s="21"/>
      <c r="CK761" s="21"/>
      <c r="CL761" s="21"/>
      <c r="CM761" s="21"/>
      <c r="CN761" s="21"/>
      <c r="CO761" s="21"/>
      <c r="CP761" s="21"/>
      <c r="CQ761" s="21"/>
      <c r="CR761" s="21"/>
      <c r="CS761" s="21"/>
      <c r="CT761" s="21"/>
      <c r="CU761" s="21"/>
      <c r="CV761" s="21"/>
      <c r="CW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21"/>
      <c r="BT762" s="21"/>
      <c r="BU762" s="21"/>
      <c r="BV762" s="21"/>
      <c r="BW762" s="21"/>
      <c r="BX762" s="21"/>
      <c r="BY762" s="21"/>
      <c r="BZ762" s="21"/>
      <c r="CA762" s="21"/>
      <c r="CB762" s="21"/>
      <c r="CC762" s="21"/>
      <c r="CD762" s="21"/>
      <c r="CE762" s="21"/>
      <c r="CF762" s="21"/>
      <c r="CG762" s="21"/>
      <c r="CH762" s="21"/>
      <c r="CI762" s="21"/>
      <c r="CJ762" s="21"/>
      <c r="CK762" s="21"/>
      <c r="CL762" s="21"/>
      <c r="CM762" s="21"/>
      <c r="CN762" s="21"/>
      <c r="CO762" s="21"/>
      <c r="CP762" s="21"/>
      <c r="CQ762" s="21"/>
      <c r="CR762" s="21"/>
      <c r="CS762" s="21"/>
      <c r="CT762" s="21"/>
      <c r="CU762" s="21"/>
      <c r="CV762" s="21"/>
      <c r="CW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21"/>
      <c r="BT763" s="21"/>
      <c r="BU763" s="21"/>
      <c r="BV763" s="21"/>
      <c r="BW763" s="21"/>
      <c r="BX763" s="21"/>
      <c r="BY763" s="21"/>
      <c r="BZ763" s="21"/>
      <c r="CA763" s="21"/>
      <c r="CB763" s="21"/>
      <c r="CC763" s="21"/>
      <c r="CD763" s="21"/>
      <c r="CE763" s="21"/>
      <c r="CF763" s="21"/>
      <c r="CG763" s="21"/>
      <c r="CH763" s="21"/>
      <c r="CI763" s="21"/>
      <c r="CJ763" s="21"/>
      <c r="CK763" s="21"/>
      <c r="CL763" s="21"/>
      <c r="CM763" s="21"/>
      <c r="CN763" s="21"/>
      <c r="CO763" s="21"/>
      <c r="CP763" s="21"/>
      <c r="CQ763" s="21"/>
      <c r="CR763" s="21"/>
      <c r="CS763" s="21"/>
      <c r="CT763" s="21"/>
      <c r="CU763" s="21"/>
      <c r="CV763" s="21"/>
      <c r="CW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21"/>
      <c r="BT764" s="21"/>
      <c r="BU764" s="21"/>
      <c r="BV764" s="21"/>
      <c r="BW764" s="21"/>
      <c r="BX764" s="21"/>
      <c r="BY764" s="21"/>
      <c r="BZ764" s="21"/>
      <c r="CA764" s="21"/>
      <c r="CB764" s="21"/>
      <c r="CC764" s="21"/>
      <c r="CD764" s="21"/>
      <c r="CE764" s="21"/>
      <c r="CF764" s="21"/>
      <c r="CG764" s="21"/>
      <c r="CH764" s="21"/>
      <c r="CI764" s="21"/>
      <c r="CJ764" s="21"/>
      <c r="CK764" s="21"/>
      <c r="CL764" s="21"/>
      <c r="CM764" s="21"/>
      <c r="CN764" s="21"/>
      <c r="CO764" s="21"/>
      <c r="CP764" s="21"/>
      <c r="CQ764" s="21"/>
      <c r="CR764" s="21"/>
      <c r="CS764" s="21"/>
      <c r="CT764" s="21"/>
      <c r="CU764" s="21"/>
      <c r="CV764" s="21"/>
      <c r="CW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21"/>
      <c r="BT765" s="21"/>
      <c r="BU765" s="21"/>
      <c r="BV765" s="21"/>
      <c r="BW765" s="21"/>
      <c r="BX765" s="21"/>
      <c r="BY765" s="21"/>
      <c r="BZ765" s="21"/>
      <c r="CA765" s="21"/>
      <c r="CB765" s="21"/>
      <c r="CC765" s="21"/>
      <c r="CD765" s="21"/>
      <c r="CE765" s="21"/>
      <c r="CF765" s="21"/>
      <c r="CG765" s="21"/>
      <c r="CH765" s="21"/>
      <c r="CI765" s="21"/>
      <c r="CJ765" s="21"/>
      <c r="CK765" s="21"/>
      <c r="CL765" s="21"/>
      <c r="CM765" s="21"/>
      <c r="CN765" s="21"/>
      <c r="CO765" s="21"/>
      <c r="CP765" s="21"/>
      <c r="CQ765" s="21"/>
      <c r="CR765" s="21"/>
      <c r="CS765" s="21"/>
      <c r="CT765" s="21"/>
      <c r="CU765" s="21"/>
      <c r="CV765" s="21"/>
      <c r="CW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21"/>
      <c r="BT766" s="21"/>
      <c r="BU766" s="21"/>
      <c r="BV766" s="21"/>
      <c r="BW766" s="21"/>
      <c r="BX766" s="21"/>
      <c r="BY766" s="21"/>
      <c r="BZ766" s="21"/>
      <c r="CA766" s="21"/>
      <c r="CB766" s="21"/>
      <c r="CC766" s="21"/>
      <c r="CD766" s="21"/>
      <c r="CE766" s="21"/>
      <c r="CF766" s="21"/>
      <c r="CG766" s="21"/>
      <c r="CH766" s="21"/>
      <c r="CI766" s="21"/>
      <c r="CJ766" s="21"/>
      <c r="CK766" s="21"/>
      <c r="CL766" s="21"/>
      <c r="CM766" s="21"/>
      <c r="CN766" s="21"/>
      <c r="CO766" s="21"/>
      <c r="CP766" s="21"/>
      <c r="CQ766" s="21"/>
      <c r="CR766" s="21"/>
      <c r="CS766" s="21"/>
      <c r="CT766" s="21"/>
      <c r="CU766" s="21"/>
      <c r="CV766" s="21"/>
      <c r="CW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21"/>
      <c r="BT767" s="21"/>
      <c r="BU767" s="21"/>
      <c r="BV767" s="21"/>
      <c r="BW767" s="21"/>
      <c r="BX767" s="21"/>
      <c r="BY767" s="21"/>
      <c r="BZ767" s="21"/>
      <c r="CA767" s="21"/>
      <c r="CB767" s="21"/>
      <c r="CC767" s="21"/>
      <c r="CD767" s="21"/>
      <c r="CE767" s="21"/>
      <c r="CF767" s="21"/>
      <c r="CG767" s="21"/>
      <c r="CH767" s="21"/>
      <c r="CI767" s="21"/>
      <c r="CJ767" s="21"/>
      <c r="CK767" s="21"/>
      <c r="CL767" s="21"/>
      <c r="CM767" s="21"/>
      <c r="CN767" s="21"/>
      <c r="CO767" s="21"/>
      <c r="CP767" s="21"/>
      <c r="CQ767" s="21"/>
      <c r="CR767" s="21"/>
      <c r="CS767" s="21"/>
      <c r="CT767" s="21"/>
      <c r="CU767" s="21"/>
      <c r="CV767" s="21"/>
      <c r="CW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21"/>
      <c r="BT768" s="21"/>
      <c r="BU768" s="21"/>
      <c r="BV768" s="21"/>
      <c r="BW768" s="21"/>
      <c r="BX768" s="21"/>
      <c r="BY768" s="21"/>
      <c r="BZ768" s="21"/>
      <c r="CA768" s="21"/>
      <c r="CB768" s="21"/>
      <c r="CC768" s="21"/>
      <c r="CD768" s="21"/>
      <c r="CE768" s="21"/>
      <c r="CF768" s="21"/>
      <c r="CG768" s="21"/>
      <c r="CH768" s="21"/>
      <c r="CI768" s="21"/>
      <c r="CJ768" s="21"/>
      <c r="CK768" s="21"/>
      <c r="CL768" s="21"/>
      <c r="CM768" s="21"/>
      <c r="CN768" s="21"/>
      <c r="CO768" s="21"/>
      <c r="CP768" s="21"/>
      <c r="CQ768" s="21"/>
      <c r="CR768" s="21"/>
      <c r="CS768" s="21"/>
      <c r="CT768" s="21"/>
      <c r="CU768" s="21"/>
      <c r="CV768" s="21"/>
      <c r="CW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21"/>
      <c r="BT769" s="21"/>
      <c r="BU769" s="21"/>
      <c r="BV769" s="21"/>
      <c r="BW769" s="21"/>
      <c r="BX769" s="21"/>
      <c r="BY769" s="21"/>
      <c r="BZ769" s="21"/>
      <c r="CA769" s="21"/>
      <c r="CB769" s="21"/>
      <c r="CC769" s="21"/>
      <c r="CD769" s="21"/>
      <c r="CE769" s="21"/>
      <c r="CF769" s="21"/>
      <c r="CG769" s="21"/>
      <c r="CH769" s="21"/>
      <c r="CI769" s="21"/>
      <c r="CJ769" s="21"/>
      <c r="CK769" s="21"/>
      <c r="CL769" s="21"/>
      <c r="CM769" s="21"/>
      <c r="CN769" s="21"/>
      <c r="CO769" s="21"/>
      <c r="CP769" s="21"/>
      <c r="CQ769" s="21"/>
      <c r="CR769" s="21"/>
      <c r="CS769" s="21"/>
      <c r="CT769" s="21"/>
      <c r="CU769" s="21"/>
      <c r="CV769" s="21"/>
      <c r="CW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21"/>
      <c r="BT770" s="21"/>
      <c r="BU770" s="21"/>
      <c r="BV770" s="21"/>
      <c r="BW770" s="21"/>
      <c r="BX770" s="21"/>
      <c r="BY770" s="21"/>
      <c r="BZ770" s="21"/>
      <c r="CA770" s="21"/>
      <c r="CB770" s="21"/>
      <c r="CC770" s="21"/>
      <c r="CD770" s="21"/>
      <c r="CE770" s="21"/>
      <c r="CF770" s="21"/>
      <c r="CG770" s="21"/>
      <c r="CH770" s="21"/>
      <c r="CI770" s="21"/>
      <c r="CJ770" s="21"/>
      <c r="CK770" s="21"/>
      <c r="CL770" s="21"/>
      <c r="CM770" s="21"/>
      <c r="CN770" s="21"/>
      <c r="CO770" s="21"/>
      <c r="CP770" s="21"/>
      <c r="CQ770" s="21"/>
      <c r="CR770" s="21"/>
      <c r="CS770" s="21"/>
      <c r="CT770" s="21"/>
      <c r="CU770" s="21"/>
      <c r="CV770" s="21"/>
      <c r="CW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21"/>
      <c r="BT771" s="21"/>
      <c r="BU771" s="21"/>
      <c r="BV771" s="21"/>
      <c r="BW771" s="21"/>
      <c r="BX771" s="21"/>
      <c r="BY771" s="21"/>
      <c r="BZ771" s="21"/>
      <c r="CA771" s="21"/>
      <c r="CB771" s="21"/>
      <c r="CC771" s="21"/>
      <c r="CD771" s="21"/>
      <c r="CE771" s="21"/>
      <c r="CF771" s="21"/>
      <c r="CG771" s="21"/>
      <c r="CH771" s="21"/>
      <c r="CI771" s="21"/>
      <c r="CJ771" s="21"/>
      <c r="CK771" s="21"/>
      <c r="CL771" s="21"/>
      <c r="CM771" s="21"/>
      <c r="CN771" s="21"/>
      <c r="CO771" s="21"/>
      <c r="CP771" s="21"/>
      <c r="CQ771" s="21"/>
      <c r="CR771" s="21"/>
      <c r="CS771" s="21"/>
      <c r="CT771" s="21"/>
      <c r="CU771" s="21"/>
      <c r="CV771" s="21"/>
      <c r="CW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21"/>
      <c r="BT772" s="21"/>
      <c r="BU772" s="21"/>
      <c r="BV772" s="21"/>
      <c r="BW772" s="21"/>
      <c r="BX772" s="21"/>
      <c r="BY772" s="21"/>
      <c r="BZ772" s="21"/>
      <c r="CA772" s="21"/>
      <c r="CB772" s="21"/>
      <c r="CC772" s="21"/>
      <c r="CD772" s="21"/>
      <c r="CE772" s="21"/>
      <c r="CF772" s="21"/>
      <c r="CG772" s="21"/>
      <c r="CH772" s="21"/>
      <c r="CI772" s="21"/>
      <c r="CJ772" s="21"/>
      <c r="CK772" s="21"/>
      <c r="CL772" s="21"/>
      <c r="CM772" s="21"/>
      <c r="CN772" s="21"/>
      <c r="CO772" s="21"/>
      <c r="CP772" s="21"/>
      <c r="CQ772" s="21"/>
      <c r="CR772" s="21"/>
      <c r="CS772" s="21"/>
      <c r="CT772" s="21"/>
      <c r="CU772" s="21"/>
      <c r="CV772" s="21"/>
      <c r="CW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21"/>
      <c r="BT773" s="21"/>
      <c r="BU773" s="21"/>
      <c r="BV773" s="21"/>
      <c r="BW773" s="21"/>
      <c r="BX773" s="21"/>
      <c r="BY773" s="21"/>
      <c r="BZ773" s="21"/>
      <c r="CA773" s="21"/>
      <c r="CB773" s="21"/>
      <c r="CC773" s="21"/>
      <c r="CD773" s="21"/>
      <c r="CE773" s="21"/>
      <c r="CF773" s="21"/>
      <c r="CG773" s="21"/>
      <c r="CH773" s="21"/>
      <c r="CI773" s="21"/>
      <c r="CJ773" s="21"/>
      <c r="CK773" s="21"/>
      <c r="CL773" s="21"/>
      <c r="CM773" s="21"/>
      <c r="CN773" s="21"/>
      <c r="CO773" s="21"/>
      <c r="CP773" s="21"/>
      <c r="CQ773" s="21"/>
      <c r="CR773" s="21"/>
      <c r="CS773" s="21"/>
      <c r="CT773" s="21"/>
      <c r="CU773" s="21"/>
      <c r="CV773" s="21"/>
      <c r="CW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21"/>
      <c r="BT774" s="21"/>
      <c r="BU774" s="21"/>
      <c r="BV774" s="21"/>
      <c r="BW774" s="21"/>
      <c r="BX774" s="21"/>
      <c r="BY774" s="21"/>
      <c r="BZ774" s="21"/>
      <c r="CA774" s="21"/>
      <c r="CB774" s="21"/>
      <c r="CC774" s="21"/>
      <c r="CD774" s="21"/>
      <c r="CE774" s="21"/>
      <c r="CF774" s="21"/>
      <c r="CG774" s="21"/>
      <c r="CH774" s="21"/>
      <c r="CI774" s="21"/>
      <c r="CJ774" s="21"/>
      <c r="CK774" s="21"/>
      <c r="CL774" s="21"/>
      <c r="CM774" s="21"/>
      <c r="CN774" s="21"/>
      <c r="CO774" s="21"/>
      <c r="CP774" s="21"/>
      <c r="CQ774" s="21"/>
      <c r="CR774" s="21"/>
      <c r="CS774" s="21"/>
      <c r="CT774" s="21"/>
      <c r="CU774" s="21"/>
      <c r="CV774" s="21"/>
      <c r="CW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21"/>
      <c r="BT775" s="21"/>
      <c r="BU775" s="21"/>
      <c r="BV775" s="21"/>
      <c r="BW775" s="21"/>
      <c r="BX775" s="21"/>
      <c r="BY775" s="21"/>
      <c r="BZ775" s="21"/>
      <c r="CA775" s="21"/>
      <c r="CB775" s="21"/>
      <c r="CC775" s="21"/>
      <c r="CD775" s="21"/>
      <c r="CE775" s="21"/>
      <c r="CF775" s="21"/>
      <c r="CG775" s="21"/>
      <c r="CH775" s="21"/>
      <c r="CI775" s="21"/>
      <c r="CJ775" s="21"/>
      <c r="CK775" s="21"/>
      <c r="CL775" s="21"/>
      <c r="CM775" s="21"/>
      <c r="CN775" s="21"/>
      <c r="CO775" s="21"/>
      <c r="CP775" s="21"/>
      <c r="CQ775" s="21"/>
      <c r="CR775" s="21"/>
      <c r="CS775" s="21"/>
      <c r="CT775" s="21"/>
      <c r="CU775" s="21"/>
      <c r="CV775" s="21"/>
      <c r="CW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21"/>
      <c r="BT776" s="21"/>
      <c r="BU776" s="21"/>
      <c r="BV776" s="21"/>
      <c r="BW776" s="21"/>
      <c r="BX776" s="21"/>
      <c r="BY776" s="21"/>
      <c r="BZ776" s="21"/>
      <c r="CA776" s="21"/>
      <c r="CB776" s="21"/>
      <c r="CC776" s="21"/>
      <c r="CD776" s="21"/>
      <c r="CE776" s="21"/>
      <c r="CF776" s="21"/>
      <c r="CG776" s="21"/>
      <c r="CH776" s="21"/>
      <c r="CI776" s="21"/>
      <c r="CJ776" s="21"/>
      <c r="CK776" s="21"/>
      <c r="CL776" s="21"/>
      <c r="CM776" s="21"/>
      <c r="CN776" s="21"/>
      <c r="CO776" s="21"/>
      <c r="CP776" s="21"/>
      <c r="CQ776" s="21"/>
      <c r="CR776" s="21"/>
      <c r="CS776" s="21"/>
      <c r="CT776" s="21"/>
      <c r="CU776" s="21"/>
      <c r="CV776" s="21"/>
      <c r="CW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21"/>
      <c r="BT777" s="21"/>
      <c r="BU777" s="21"/>
      <c r="BV777" s="21"/>
      <c r="BW777" s="21"/>
      <c r="BX777" s="21"/>
      <c r="BY777" s="21"/>
      <c r="BZ777" s="21"/>
      <c r="CA777" s="21"/>
      <c r="CB777" s="21"/>
      <c r="CC777" s="21"/>
      <c r="CD777" s="21"/>
      <c r="CE777" s="21"/>
      <c r="CF777" s="21"/>
      <c r="CG777" s="21"/>
      <c r="CH777" s="21"/>
      <c r="CI777" s="21"/>
      <c r="CJ777" s="21"/>
      <c r="CK777" s="21"/>
      <c r="CL777" s="21"/>
      <c r="CM777" s="21"/>
      <c r="CN777" s="21"/>
      <c r="CO777" s="21"/>
      <c r="CP777" s="21"/>
      <c r="CQ777" s="21"/>
      <c r="CR777" s="21"/>
      <c r="CS777" s="21"/>
      <c r="CT777" s="21"/>
      <c r="CU777" s="21"/>
      <c r="CV777" s="21"/>
      <c r="CW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21"/>
      <c r="BT778" s="21"/>
      <c r="BU778" s="21"/>
      <c r="BV778" s="21"/>
      <c r="BW778" s="21"/>
      <c r="BX778" s="21"/>
      <c r="BY778" s="21"/>
      <c r="BZ778" s="21"/>
      <c r="CA778" s="21"/>
      <c r="CB778" s="21"/>
      <c r="CC778" s="21"/>
      <c r="CD778" s="21"/>
      <c r="CE778" s="21"/>
      <c r="CF778" s="21"/>
      <c r="CG778" s="21"/>
      <c r="CH778" s="21"/>
      <c r="CI778" s="21"/>
      <c r="CJ778" s="21"/>
      <c r="CK778" s="21"/>
      <c r="CL778" s="21"/>
      <c r="CM778" s="21"/>
      <c r="CN778" s="21"/>
      <c r="CO778" s="21"/>
      <c r="CP778" s="21"/>
      <c r="CQ778" s="21"/>
      <c r="CR778" s="21"/>
      <c r="CS778" s="21"/>
      <c r="CT778" s="21"/>
      <c r="CU778" s="21"/>
      <c r="CV778" s="21"/>
      <c r="CW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21"/>
      <c r="BT779" s="21"/>
      <c r="BU779" s="21"/>
      <c r="BV779" s="21"/>
      <c r="BW779" s="21"/>
      <c r="BX779" s="21"/>
      <c r="BY779" s="21"/>
      <c r="BZ779" s="21"/>
      <c r="CA779" s="21"/>
      <c r="CB779" s="21"/>
      <c r="CC779" s="21"/>
      <c r="CD779" s="21"/>
      <c r="CE779" s="21"/>
      <c r="CF779" s="21"/>
      <c r="CG779" s="21"/>
      <c r="CH779" s="21"/>
      <c r="CI779" s="21"/>
      <c r="CJ779" s="21"/>
      <c r="CK779" s="21"/>
      <c r="CL779" s="21"/>
      <c r="CM779" s="21"/>
      <c r="CN779" s="21"/>
      <c r="CO779" s="21"/>
      <c r="CP779" s="21"/>
      <c r="CQ779" s="21"/>
      <c r="CR779" s="21"/>
      <c r="CS779" s="21"/>
      <c r="CT779" s="21"/>
      <c r="CU779" s="21"/>
      <c r="CV779" s="21"/>
      <c r="CW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21"/>
      <c r="BT780" s="21"/>
      <c r="BU780" s="21"/>
      <c r="BV780" s="21"/>
      <c r="BW780" s="21"/>
      <c r="BX780" s="21"/>
      <c r="BY780" s="21"/>
      <c r="BZ780" s="21"/>
      <c r="CA780" s="21"/>
      <c r="CB780" s="21"/>
      <c r="CC780" s="21"/>
      <c r="CD780" s="21"/>
      <c r="CE780" s="21"/>
      <c r="CF780" s="21"/>
      <c r="CG780" s="21"/>
      <c r="CH780" s="21"/>
      <c r="CI780" s="21"/>
      <c r="CJ780" s="21"/>
      <c r="CK780" s="21"/>
      <c r="CL780" s="21"/>
      <c r="CM780" s="21"/>
      <c r="CN780" s="21"/>
      <c r="CO780" s="21"/>
      <c r="CP780" s="21"/>
      <c r="CQ780" s="21"/>
      <c r="CR780" s="21"/>
      <c r="CS780" s="21"/>
      <c r="CT780" s="21"/>
      <c r="CU780" s="21"/>
      <c r="CV780" s="21"/>
      <c r="CW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21"/>
      <c r="BT781" s="21"/>
      <c r="BU781" s="21"/>
      <c r="BV781" s="21"/>
      <c r="BW781" s="21"/>
      <c r="BX781" s="21"/>
      <c r="BY781" s="21"/>
      <c r="BZ781" s="21"/>
      <c r="CA781" s="21"/>
      <c r="CB781" s="21"/>
      <c r="CC781" s="21"/>
      <c r="CD781" s="21"/>
      <c r="CE781" s="21"/>
      <c r="CF781" s="21"/>
      <c r="CG781" s="21"/>
      <c r="CH781" s="21"/>
      <c r="CI781" s="21"/>
      <c r="CJ781" s="21"/>
      <c r="CK781" s="21"/>
      <c r="CL781" s="21"/>
      <c r="CM781" s="21"/>
      <c r="CN781" s="21"/>
      <c r="CO781" s="21"/>
      <c r="CP781" s="21"/>
      <c r="CQ781" s="21"/>
      <c r="CR781" s="21"/>
      <c r="CS781" s="21"/>
      <c r="CT781" s="21"/>
      <c r="CU781" s="21"/>
      <c r="CV781" s="21"/>
      <c r="CW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21"/>
      <c r="BT782" s="21"/>
      <c r="BU782" s="21"/>
      <c r="BV782" s="21"/>
      <c r="BW782" s="21"/>
      <c r="BX782" s="21"/>
      <c r="BY782" s="21"/>
      <c r="BZ782" s="21"/>
      <c r="CA782" s="21"/>
      <c r="CB782" s="21"/>
      <c r="CC782" s="21"/>
      <c r="CD782" s="21"/>
      <c r="CE782" s="21"/>
      <c r="CF782" s="21"/>
      <c r="CG782" s="21"/>
      <c r="CH782" s="21"/>
      <c r="CI782" s="21"/>
      <c r="CJ782" s="21"/>
      <c r="CK782" s="21"/>
      <c r="CL782" s="21"/>
      <c r="CM782" s="21"/>
      <c r="CN782" s="21"/>
      <c r="CO782" s="21"/>
      <c r="CP782" s="21"/>
      <c r="CQ782" s="21"/>
      <c r="CR782" s="21"/>
      <c r="CS782" s="21"/>
      <c r="CT782" s="21"/>
      <c r="CU782" s="21"/>
      <c r="CV782" s="21"/>
      <c r="CW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21"/>
      <c r="BT783" s="21"/>
      <c r="BU783" s="21"/>
      <c r="BV783" s="21"/>
      <c r="BW783" s="21"/>
      <c r="BX783" s="21"/>
      <c r="BY783" s="21"/>
      <c r="BZ783" s="21"/>
      <c r="CA783" s="21"/>
      <c r="CB783" s="21"/>
      <c r="CC783" s="21"/>
      <c r="CD783" s="21"/>
      <c r="CE783" s="21"/>
      <c r="CF783" s="21"/>
      <c r="CG783" s="21"/>
      <c r="CH783" s="21"/>
      <c r="CI783" s="21"/>
      <c r="CJ783" s="21"/>
      <c r="CK783" s="21"/>
      <c r="CL783" s="21"/>
      <c r="CM783" s="21"/>
      <c r="CN783" s="21"/>
      <c r="CO783" s="21"/>
      <c r="CP783" s="21"/>
      <c r="CQ783" s="21"/>
      <c r="CR783" s="21"/>
      <c r="CS783" s="21"/>
      <c r="CT783" s="21"/>
      <c r="CU783" s="21"/>
      <c r="CV783" s="21"/>
      <c r="CW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21"/>
      <c r="BT784" s="21"/>
      <c r="BU784" s="21"/>
      <c r="BV784" s="21"/>
      <c r="BW784" s="21"/>
      <c r="BX784" s="21"/>
      <c r="BY784" s="21"/>
      <c r="BZ784" s="21"/>
      <c r="CA784" s="21"/>
      <c r="CB784" s="21"/>
      <c r="CC784" s="21"/>
      <c r="CD784" s="21"/>
      <c r="CE784" s="21"/>
      <c r="CF784" s="21"/>
      <c r="CG784" s="21"/>
      <c r="CH784" s="21"/>
      <c r="CI784" s="21"/>
      <c r="CJ784" s="21"/>
      <c r="CK784" s="21"/>
      <c r="CL784" s="21"/>
      <c r="CM784" s="21"/>
      <c r="CN784" s="21"/>
      <c r="CO784" s="21"/>
      <c r="CP784" s="21"/>
      <c r="CQ784" s="21"/>
      <c r="CR784" s="21"/>
      <c r="CS784" s="21"/>
      <c r="CT784" s="21"/>
      <c r="CU784" s="21"/>
      <c r="CV784" s="21"/>
      <c r="CW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21"/>
      <c r="BT785" s="21"/>
      <c r="BU785" s="21"/>
      <c r="BV785" s="21"/>
      <c r="BW785" s="21"/>
      <c r="BX785" s="21"/>
      <c r="BY785" s="21"/>
      <c r="BZ785" s="21"/>
      <c r="CA785" s="21"/>
      <c r="CB785" s="21"/>
      <c r="CC785" s="21"/>
      <c r="CD785" s="21"/>
      <c r="CE785" s="21"/>
      <c r="CF785" s="21"/>
      <c r="CG785" s="21"/>
      <c r="CH785" s="21"/>
      <c r="CI785" s="21"/>
      <c r="CJ785" s="21"/>
      <c r="CK785" s="21"/>
      <c r="CL785" s="21"/>
      <c r="CM785" s="21"/>
      <c r="CN785" s="21"/>
      <c r="CO785" s="21"/>
      <c r="CP785" s="21"/>
      <c r="CQ785" s="21"/>
      <c r="CR785" s="21"/>
      <c r="CS785" s="21"/>
      <c r="CT785" s="21"/>
      <c r="CU785" s="21"/>
      <c r="CV785" s="21"/>
      <c r="CW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21"/>
      <c r="BT786" s="21"/>
      <c r="BU786" s="21"/>
      <c r="BV786" s="21"/>
      <c r="BW786" s="21"/>
      <c r="BX786" s="21"/>
      <c r="BY786" s="21"/>
      <c r="BZ786" s="21"/>
      <c r="CA786" s="21"/>
      <c r="CB786" s="21"/>
      <c r="CC786" s="21"/>
      <c r="CD786" s="21"/>
      <c r="CE786" s="21"/>
      <c r="CF786" s="21"/>
      <c r="CG786" s="21"/>
      <c r="CH786" s="21"/>
      <c r="CI786" s="21"/>
      <c r="CJ786" s="21"/>
      <c r="CK786" s="21"/>
      <c r="CL786" s="21"/>
      <c r="CM786" s="21"/>
      <c r="CN786" s="21"/>
      <c r="CO786" s="21"/>
      <c r="CP786" s="21"/>
      <c r="CQ786" s="21"/>
      <c r="CR786" s="21"/>
      <c r="CS786" s="21"/>
      <c r="CT786" s="21"/>
      <c r="CU786" s="21"/>
      <c r="CV786" s="21"/>
      <c r="CW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21"/>
      <c r="BT787" s="21"/>
      <c r="BU787" s="21"/>
      <c r="BV787" s="21"/>
      <c r="BW787" s="21"/>
      <c r="BX787" s="21"/>
      <c r="BY787" s="21"/>
      <c r="BZ787" s="21"/>
      <c r="CA787" s="21"/>
      <c r="CB787" s="21"/>
      <c r="CC787" s="21"/>
      <c r="CD787" s="21"/>
      <c r="CE787" s="21"/>
      <c r="CF787" s="21"/>
      <c r="CG787" s="21"/>
      <c r="CH787" s="21"/>
      <c r="CI787" s="21"/>
      <c r="CJ787" s="21"/>
      <c r="CK787" s="21"/>
      <c r="CL787" s="21"/>
      <c r="CM787" s="21"/>
      <c r="CN787" s="21"/>
      <c r="CO787" s="21"/>
      <c r="CP787" s="21"/>
      <c r="CQ787" s="21"/>
      <c r="CR787" s="21"/>
      <c r="CS787" s="21"/>
      <c r="CT787" s="21"/>
      <c r="CU787" s="21"/>
      <c r="CV787" s="21"/>
      <c r="CW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21"/>
      <c r="BT788" s="21"/>
      <c r="BU788" s="21"/>
      <c r="BV788" s="21"/>
      <c r="BW788" s="21"/>
      <c r="BX788" s="21"/>
      <c r="BY788" s="21"/>
      <c r="BZ788" s="21"/>
      <c r="CA788" s="21"/>
      <c r="CB788" s="21"/>
      <c r="CC788" s="21"/>
      <c r="CD788" s="21"/>
      <c r="CE788" s="21"/>
      <c r="CF788" s="21"/>
      <c r="CG788" s="21"/>
      <c r="CH788" s="21"/>
      <c r="CI788" s="21"/>
      <c r="CJ788" s="21"/>
      <c r="CK788" s="21"/>
      <c r="CL788" s="21"/>
      <c r="CM788" s="21"/>
      <c r="CN788" s="21"/>
      <c r="CO788" s="21"/>
      <c r="CP788" s="21"/>
      <c r="CQ788" s="21"/>
      <c r="CR788" s="21"/>
      <c r="CS788" s="21"/>
      <c r="CT788" s="21"/>
      <c r="CU788" s="21"/>
      <c r="CV788" s="21"/>
      <c r="CW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21"/>
      <c r="BT789" s="21"/>
      <c r="BU789" s="21"/>
      <c r="BV789" s="21"/>
      <c r="BW789" s="21"/>
      <c r="BX789" s="21"/>
      <c r="BY789" s="21"/>
      <c r="BZ789" s="21"/>
      <c r="CA789" s="21"/>
      <c r="CB789" s="21"/>
      <c r="CC789" s="21"/>
      <c r="CD789" s="21"/>
      <c r="CE789" s="21"/>
      <c r="CF789" s="21"/>
      <c r="CG789" s="21"/>
      <c r="CH789" s="21"/>
      <c r="CI789" s="21"/>
      <c r="CJ789" s="21"/>
      <c r="CK789" s="21"/>
      <c r="CL789" s="21"/>
      <c r="CM789" s="21"/>
      <c r="CN789" s="21"/>
      <c r="CO789" s="21"/>
      <c r="CP789" s="21"/>
      <c r="CQ789" s="21"/>
      <c r="CR789" s="21"/>
      <c r="CS789" s="21"/>
      <c r="CT789" s="21"/>
      <c r="CU789" s="21"/>
      <c r="CV789" s="21"/>
      <c r="CW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21"/>
      <c r="BT790" s="21"/>
      <c r="BU790" s="21"/>
      <c r="BV790" s="21"/>
      <c r="BW790" s="21"/>
      <c r="BX790" s="21"/>
      <c r="BY790" s="21"/>
      <c r="BZ790" s="21"/>
      <c r="CA790" s="21"/>
      <c r="CB790" s="21"/>
      <c r="CC790" s="21"/>
      <c r="CD790" s="21"/>
      <c r="CE790" s="21"/>
      <c r="CF790" s="21"/>
      <c r="CG790" s="21"/>
      <c r="CH790" s="21"/>
      <c r="CI790" s="21"/>
      <c r="CJ790" s="21"/>
      <c r="CK790" s="21"/>
      <c r="CL790" s="21"/>
      <c r="CM790" s="21"/>
      <c r="CN790" s="21"/>
      <c r="CO790" s="21"/>
      <c r="CP790" s="21"/>
      <c r="CQ790" s="21"/>
      <c r="CR790" s="21"/>
      <c r="CS790" s="21"/>
      <c r="CT790" s="21"/>
      <c r="CU790" s="21"/>
      <c r="CV790" s="21"/>
      <c r="CW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21"/>
      <c r="BT791" s="21"/>
      <c r="BU791" s="21"/>
      <c r="BV791" s="21"/>
      <c r="BW791" s="21"/>
      <c r="BX791" s="21"/>
      <c r="BY791" s="21"/>
      <c r="BZ791" s="21"/>
      <c r="CA791" s="21"/>
      <c r="CB791" s="21"/>
      <c r="CC791" s="21"/>
      <c r="CD791" s="21"/>
      <c r="CE791" s="21"/>
      <c r="CF791" s="21"/>
      <c r="CG791" s="21"/>
      <c r="CH791" s="21"/>
      <c r="CI791" s="21"/>
      <c r="CJ791" s="21"/>
      <c r="CK791" s="21"/>
      <c r="CL791" s="21"/>
      <c r="CM791" s="21"/>
      <c r="CN791" s="21"/>
      <c r="CO791" s="21"/>
      <c r="CP791" s="21"/>
      <c r="CQ791" s="21"/>
      <c r="CR791" s="21"/>
      <c r="CS791" s="21"/>
      <c r="CT791" s="21"/>
      <c r="CU791" s="21"/>
      <c r="CV791" s="21"/>
      <c r="CW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21"/>
      <c r="BT792" s="21"/>
      <c r="BU792" s="21"/>
      <c r="BV792" s="21"/>
      <c r="BW792" s="21"/>
      <c r="BX792" s="21"/>
      <c r="BY792" s="21"/>
      <c r="BZ792" s="21"/>
      <c r="CA792" s="21"/>
      <c r="CB792" s="21"/>
      <c r="CC792" s="21"/>
      <c r="CD792" s="21"/>
      <c r="CE792" s="21"/>
      <c r="CF792" s="21"/>
      <c r="CG792" s="21"/>
      <c r="CH792" s="21"/>
      <c r="CI792" s="21"/>
      <c r="CJ792" s="21"/>
      <c r="CK792" s="21"/>
      <c r="CL792" s="21"/>
      <c r="CM792" s="21"/>
      <c r="CN792" s="21"/>
      <c r="CO792" s="21"/>
      <c r="CP792" s="21"/>
      <c r="CQ792" s="21"/>
      <c r="CR792" s="21"/>
      <c r="CS792" s="21"/>
      <c r="CT792" s="21"/>
      <c r="CU792" s="21"/>
      <c r="CV792" s="21"/>
      <c r="CW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21"/>
      <c r="BT793" s="21"/>
      <c r="BU793" s="21"/>
      <c r="BV793" s="21"/>
      <c r="BW793" s="21"/>
      <c r="BX793" s="21"/>
      <c r="BY793" s="21"/>
      <c r="BZ793" s="21"/>
      <c r="CA793" s="21"/>
      <c r="CB793" s="21"/>
      <c r="CC793" s="21"/>
      <c r="CD793" s="21"/>
      <c r="CE793" s="21"/>
      <c r="CF793" s="21"/>
      <c r="CG793" s="21"/>
      <c r="CH793" s="21"/>
      <c r="CI793" s="21"/>
      <c r="CJ793" s="21"/>
      <c r="CK793" s="21"/>
      <c r="CL793" s="21"/>
      <c r="CM793" s="21"/>
      <c r="CN793" s="21"/>
      <c r="CO793" s="21"/>
      <c r="CP793" s="21"/>
      <c r="CQ793" s="21"/>
      <c r="CR793" s="21"/>
      <c r="CS793" s="21"/>
      <c r="CT793" s="21"/>
      <c r="CU793" s="21"/>
      <c r="CV793" s="21"/>
      <c r="CW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21"/>
      <c r="BT794" s="21"/>
      <c r="BU794" s="21"/>
      <c r="BV794" s="21"/>
      <c r="BW794" s="21"/>
      <c r="BX794" s="21"/>
      <c r="BY794" s="21"/>
      <c r="BZ794" s="21"/>
      <c r="CA794" s="21"/>
      <c r="CB794" s="21"/>
      <c r="CC794" s="21"/>
      <c r="CD794" s="21"/>
      <c r="CE794" s="21"/>
      <c r="CF794" s="21"/>
      <c r="CG794" s="21"/>
      <c r="CH794" s="21"/>
      <c r="CI794" s="21"/>
      <c r="CJ794" s="21"/>
      <c r="CK794" s="21"/>
      <c r="CL794" s="21"/>
      <c r="CM794" s="21"/>
      <c r="CN794" s="21"/>
      <c r="CO794" s="21"/>
      <c r="CP794" s="21"/>
      <c r="CQ794" s="21"/>
      <c r="CR794" s="21"/>
      <c r="CS794" s="21"/>
      <c r="CT794" s="21"/>
      <c r="CU794" s="21"/>
      <c r="CV794" s="21"/>
      <c r="CW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21"/>
      <c r="BT795" s="21"/>
      <c r="BU795" s="21"/>
      <c r="BV795" s="21"/>
      <c r="BW795" s="21"/>
      <c r="BX795" s="21"/>
      <c r="BY795" s="21"/>
      <c r="BZ795" s="21"/>
      <c r="CA795" s="21"/>
      <c r="CB795" s="21"/>
      <c r="CC795" s="21"/>
      <c r="CD795" s="21"/>
      <c r="CE795" s="21"/>
      <c r="CF795" s="21"/>
      <c r="CG795" s="21"/>
      <c r="CH795" s="21"/>
      <c r="CI795" s="21"/>
      <c r="CJ795" s="21"/>
      <c r="CK795" s="21"/>
      <c r="CL795" s="21"/>
      <c r="CM795" s="21"/>
      <c r="CN795" s="21"/>
      <c r="CO795" s="21"/>
      <c r="CP795" s="21"/>
      <c r="CQ795" s="21"/>
      <c r="CR795" s="21"/>
      <c r="CS795" s="21"/>
      <c r="CT795" s="21"/>
      <c r="CU795" s="21"/>
      <c r="CV795" s="21"/>
      <c r="CW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21"/>
      <c r="BT796" s="21"/>
      <c r="BU796" s="21"/>
      <c r="BV796" s="21"/>
      <c r="BW796" s="21"/>
      <c r="BX796" s="21"/>
      <c r="BY796" s="21"/>
      <c r="BZ796" s="21"/>
      <c r="CA796" s="21"/>
      <c r="CB796" s="21"/>
      <c r="CC796" s="21"/>
      <c r="CD796" s="21"/>
      <c r="CE796" s="21"/>
      <c r="CF796" s="21"/>
      <c r="CG796" s="21"/>
      <c r="CH796" s="21"/>
      <c r="CI796" s="21"/>
      <c r="CJ796" s="21"/>
      <c r="CK796" s="21"/>
      <c r="CL796" s="21"/>
      <c r="CM796" s="21"/>
      <c r="CN796" s="21"/>
      <c r="CO796" s="21"/>
      <c r="CP796" s="21"/>
      <c r="CQ796" s="21"/>
      <c r="CR796" s="21"/>
      <c r="CS796" s="21"/>
      <c r="CT796" s="21"/>
      <c r="CU796" s="21"/>
      <c r="CV796" s="21"/>
      <c r="CW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21"/>
      <c r="BT797" s="21"/>
      <c r="BU797" s="21"/>
      <c r="BV797" s="21"/>
      <c r="BW797" s="21"/>
      <c r="BX797" s="21"/>
      <c r="BY797" s="21"/>
      <c r="BZ797" s="21"/>
      <c r="CA797" s="21"/>
      <c r="CB797" s="21"/>
      <c r="CC797" s="21"/>
      <c r="CD797" s="21"/>
      <c r="CE797" s="21"/>
      <c r="CF797" s="21"/>
      <c r="CG797" s="21"/>
      <c r="CH797" s="21"/>
      <c r="CI797" s="21"/>
      <c r="CJ797" s="21"/>
      <c r="CK797" s="21"/>
      <c r="CL797" s="21"/>
      <c r="CM797" s="21"/>
      <c r="CN797" s="21"/>
      <c r="CO797" s="21"/>
      <c r="CP797" s="21"/>
      <c r="CQ797" s="21"/>
      <c r="CR797" s="21"/>
      <c r="CS797" s="21"/>
      <c r="CT797" s="21"/>
      <c r="CU797" s="21"/>
      <c r="CV797" s="21"/>
      <c r="CW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21"/>
      <c r="BT798" s="21"/>
      <c r="BU798" s="21"/>
      <c r="BV798" s="21"/>
      <c r="BW798" s="21"/>
      <c r="BX798" s="21"/>
      <c r="BY798" s="21"/>
      <c r="BZ798" s="21"/>
      <c r="CA798" s="21"/>
      <c r="CB798" s="21"/>
      <c r="CC798" s="21"/>
      <c r="CD798" s="21"/>
      <c r="CE798" s="21"/>
      <c r="CF798" s="21"/>
      <c r="CG798" s="21"/>
      <c r="CH798" s="21"/>
      <c r="CI798" s="21"/>
      <c r="CJ798" s="21"/>
      <c r="CK798" s="21"/>
      <c r="CL798" s="21"/>
      <c r="CM798" s="21"/>
      <c r="CN798" s="21"/>
      <c r="CO798" s="21"/>
      <c r="CP798" s="21"/>
      <c r="CQ798" s="21"/>
      <c r="CR798" s="21"/>
      <c r="CS798" s="21"/>
      <c r="CT798" s="21"/>
      <c r="CU798" s="21"/>
      <c r="CV798" s="21"/>
      <c r="CW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21"/>
      <c r="BT799" s="21"/>
      <c r="BU799" s="21"/>
      <c r="BV799" s="21"/>
      <c r="BW799" s="21"/>
      <c r="BX799" s="21"/>
      <c r="BY799" s="21"/>
      <c r="BZ799" s="21"/>
      <c r="CA799" s="21"/>
      <c r="CB799" s="21"/>
      <c r="CC799" s="21"/>
      <c r="CD799" s="21"/>
      <c r="CE799" s="21"/>
      <c r="CF799" s="21"/>
      <c r="CG799" s="21"/>
      <c r="CH799" s="21"/>
      <c r="CI799" s="21"/>
      <c r="CJ799" s="21"/>
      <c r="CK799" s="21"/>
      <c r="CL799" s="21"/>
      <c r="CM799" s="21"/>
      <c r="CN799" s="21"/>
      <c r="CO799" s="21"/>
      <c r="CP799" s="21"/>
      <c r="CQ799" s="21"/>
      <c r="CR799" s="21"/>
      <c r="CS799" s="21"/>
      <c r="CT799" s="21"/>
      <c r="CU799" s="21"/>
      <c r="CV799" s="21"/>
      <c r="CW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21"/>
      <c r="BT800" s="21"/>
      <c r="BU800" s="21"/>
      <c r="BV800" s="21"/>
      <c r="BW800" s="21"/>
      <c r="BX800" s="21"/>
      <c r="BY800" s="21"/>
      <c r="BZ800" s="21"/>
      <c r="CA800" s="21"/>
      <c r="CB800" s="21"/>
      <c r="CC800" s="21"/>
      <c r="CD800" s="21"/>
      <c r="CE800" s="21"/>
      <c r="CF800" s="21"/>
      <c r="CG800" s="21"/>
      <c r="CH800" s="21"/>
      <c r="CI800" s="21"/>
      <c r="CJ800" s="21"/>
      <c r="CK800" s="21"/>
      <c r="CL800" s="21"/>
      <c r="CM800" s="21"/>
      <c r="CN800" s="21"/>
      <c r="CO800" s="21"/>
      <c r="CP800" s="21"/>
      <c r="CQ800" s="21"/>
      <c r="CR800" s="21"/>
      <c r="CS800" s="21"/>
      <c r="CT800" s="21"/>
      <c r="CU800" s="21"/>
      <c r="CV800" s="21"/>
      <c r="CW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21"/>
      <c r="BT801" s="21"/>
      <c r="BU801" s="21"/>
      <c r="BV801" s="21"/>
      <c r="BW801" s="21"/>
      <c r="BX801" s="21"/>
      <c r="BY801" s="21"/>
      <c r="BZ801" s="21"/>
      <c r="CA801" s="21"/>
      <c r="CB801" s="21"/>
      <c r="CC801" s="21"/>
      <c r="CD801" s="21"/>
      <c r="CE801" s="21"/>
      <c r="CF801" s="21"/>
      <c r="CG801" s="21"/>
      <c r="CH801" s="21"/>
      <c r="CI801" s="21"/>
      <c r="CJ801" s="21"/>
      <c r="CK801" s="21"/>
      <c r="CL801" s="21"/>
      <c r="CM801" s="21"/>
      <c r="CN801" s="21"/>
      <c r="CO801" s="21"/>
      <c r="CP801" s="21"/>
      <c r="CQ801" s="21"/>
      <c r="CR801" s="21"/>
      <c r="CS801" s="21"/>
      <c r="CT801" s="21"/>
      <c r="CU801" s="21"/>
      <c r="CV801" s="21"/>
      <c r="CW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21"/>
      <c r="BT802" s="21"/>
      <c r="BU802" s="21"/>
      <c r="BV802" s="21"/>
      <c r="BW802" s="21"/>
      <c r="BX802" s="21"/>
      <c r="BY802" s="21"/>
      <c r="BZ802" s="21"/>
      <c r="CA802" s="21"/>
      <c r="CB802" s="21"/>
      <c r="CC802" s="21"/>
      <c r="CD802" s="21"/>
      <c r="CE802" s="21"/>
      <c r="CF802" s="21"/>
      <c r="CG802" s="21"/>
      <c r="CH802" s="21"/>
      <c r="CI802" s="21"/>
      <c r="CJ802" s="21"/>
      <c r="CK802" s="21"/>
      <c r="CL802" s="21"/>
      <c r="CM802" s="21"/>
      <c r="CN802" s="21"/>
      <c r="CO802" s="21"/>
      <c r="CP802" s="21"/>
      <c r="CQ802" s="21"/>
      <c r="CR802" s="21"/>
      <c r="CS802" s="21"/>
      <c r="CT802" s="21"/>
      <c r="CU802" s="21"/>
      <c r="CV802" s="21"/>
      <c r="CW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21"/>
      <c r="BT803" s="21"/>
      <c r="BU803" s="21"/>
      <c r="BV803" s="21"/>
      <c r="BW803" s="21"/>
      <c r="BX803" s="21"/>
      <c r="BY803" s="21"/>
      <c r="BZ803" s="21"/>
      <c r="CA803" s="21"/>
      <c r="CB803" s="21"/>
      <c r="CC803" s="21"/>
      <c r="CD803" s="21"/>
      <c r="CE803" s="21"/>
      <c r="CF803" s="21"/>
      <c r="CG803" s="21"/>
      <c r="CH803" s="21"/>
      <c r="CI803" s="21"/>
      <c r="CJ803" s="21"/>
      <c r="CK803" s="21"/>
      <c r="CL803" s="21"/>
      <c r="CM803" s="21"/>
      <c r="CN803" s="21"/>
      <c r="CO803" s="21"/>
      <c r="CP803" s="21"/>
      <c r="CQ803" s="21"/>
      <c r="CR803" s="21"/>
      <c r="CS803" s="21"/>
      <c r="CT803" s="21"/>
      <c r="CU803" s="21"/>
      <c r="CV803" s="21"/>
      <c r="CW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21"/>
      <c r="BT804" s="21"/>
      <c r="BU804" s="21"/>
      <c r="BV804" s="21"/>
      <c r="BW804" s="21"/>
      <c r="BX804" s="21"/>
      <c r="BY804" s="21"/>
      <c r="BZ804" s="21"/>
      <c r="CA804" s="21"/>
      <c r="CB804" s="21"/>
      <c r="CC804" s="21"/>
      <c r="CD804" s="21"/>
      <c r="CE804" s="21"/>
      <c r="CF804" s="21"/>
      <c r="CG804" s="21"/>
      <c r="CH804" s="21"/>
      <c r="CI804" s="21"/>
      <c r="CJ804" s="21"/>
      <c r="CK804" s="21"/>
      <c r="CL804" s="21"/>
      <c r="CM804" s="21"/>
      <c r="CN804" s="21"/>
      <c r="CO804" s="21"/>
      <c r="CP804" s="21"/>
      <c r="CQ804" s="21"/>
      <c r="CR804" s="21"/>
      <c r="CS804" s="21"/>
      <c r="CT804" s="21"/>
      <c r="CU804" s="21"/>
      <c r="CV804" s="21"/>
      <c r="CW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21"/>
      <c r="BT805" s="21"/>
      <c r="BU805" s="21"/>
      <c r="BV805" s="21"/>
      <c r="BW805" s="21"/>
      <c r="BX805" s="21"/>
      <c r="BY805" s="21"/>
      <c r="BZ805" s="21"/>
      <c r="CA805" s="21"/>
      <c r="CB805" s="21"/>
      <c r="CC805" s="21"/>
      <c r="CD805" s="21"/>
      <c r="CE805" s="21"/>
      <c r="CF805" s="21"/>
      <c r="CG805" s="21"/>
      <c r="CH805" s="21"/>
      <c r="CI805" s="21"/>
      <c r="CJ805" s="21"/>
      <c r="CK805" s="21"/>
      <c r="CL805" s="21"/>
      <c r="CM805" s="21"/>
      <c r="CN805" s="21"/>
      <c r="CO805" s="21"/>
      <c r="CP805" s="21"/>
      <c r="CQ805" s="21"/>
      <c r="CR805" s="21"/>
      <c r="CS805" s="21"/>
      <c r="CT805" s="21"/>
      <c r="CU805" s="21"/>
      <c r="CV805" s="21"/>
      <c r="CW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21"/>
      <c r="BT806" s="21"/>
      <c r="BU806" s="21"/>
      <c r="BV806" s="21"/>
      <c r="BW806" s="21"/>
      <c r="BX806" s="21"/>
      <c r="BY806" s="21"/>
      <c r="BZ806" s="21"/>
      <c r="CA806" s="21"/>
      <c r="CB806" s="21"/>
      <c r="CC806" s="21"/>
      <c r="CD806" s="21"/>
      <c r="CE806" s="21"/>
      <c r="CF806" s="21"/>
      <c r="CG806" s="21"/>
      <c r="CH806" s="21"/>
      <c r="CI806" s="21"/>
      <c r="CJ806" s="21"/>
      <c r="CK806" s="21"/>
      <c r="CL806" s="21"/>
      <c r="CM806" s="21"/>
      <c r="CN806" s="21"/>
      <c r="CO806" s="21"/>
      <c r="CP806" s="21"/>
      <c r="CQ806" s="21"/>
      <c r="CR806" s="21"/>
      <c r="CS806" s="21"/>
      <c r="CT806" s="21"/>
      <c r="CU806" s="21"/>
      <c r="CV806" s="21"/>
      <c r="CW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21"/>
      <c r="BT807" s="21"/>
      <c r="BU807" s="21"/>
      <c r="BV807" s="21"/>
      <c r="BW807" s="21"/>
      <c r="BX807" s="21"/>
      <c r="BY807" s="21"/>
      <c r="BZ807" s="21"/>
      <c r="CA807" s="21"/>
      <c r="CB807" s="21"/>
      <c r="CC807" s="21"/>
      <c r="CD807" s="21"/>
      <c r="CE807" s="21"/>
      <c r="CF807" s="21"/>
      <c r="CG807" s="21"/>
      <c r="CH807" s="21"/>
      <c r="CI807" s="21"/>
      <c r="CJ807" s="21"/>
      <c r="CK807" s="21"/>
      <c r="CL807" s="21"/>
      <c r="CM807" s="21"/>
      <c r="CN807" s="21"/>
      <c r="CO807" s="21"/>
      <c r="CP807" s="21"/>
      <c r="CQ807" s="21"/>
      <c r="CR807" s="21"/>
      <c r="CS807" s="21"/>
      <c r="CT807" s="21"/>
      <c r="CU807" s="21"/>
      <c r="CV807" s="21"/>
      <c r="CW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21"/>
      <c r="BT808" s="21"/>
      <c r="BU808" s="21"/>
      <c r="BV808" s="21"/>
      <c r="BW808" s="21"/>
      <c r="BX808" s="21"/>
      <c r="BY808" s="21"/>
      <c r="BZ808" s="21"/>
      <c r="CA808" s="21"/>
      <c r="CB808" s="21"/>
      <c r="CC808" s="21"/>
      <c r="CD808" s="21"/>
      <c r="CE808" s="21"/>
      <c r="CF808" s="21"/>
      <c r="CG808" s="21"/>
      <c r="CH808" s="21"/>
      <c r="CI808" s="21"/>
      <c r="CJ808" s="21"/>
      <c r="CK808" s="21"/>
      <c r="CL808" s="21"/>
      <c r="CM808" s="21"/>
      <c r="CN808" s="21"/>
      <c r="CO808" s="21"/>
      <c r="CP808" s="21"/>
      <c r="CQ808" s="21"/>
      <c r="CR808" s="21"/>
      <c r="CS808" s="21"/>
      <c r="CT808" s="21"/>
      <c r="CU808" s="21"/>
      <c r="CV808" s="21"/>
      <c r="CW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21"/>
      <c r="BT809" s="21"/>
      <c r="BU809" s="21"/>
      <c r="BV809" s="21"/>
      <c r="BW809" s="21"/>
      <c r="BX809" s="21"/>
      <c r="BY809" s="21"/>
      <c r="BZ809" s="21"/>
      <c r="CA809" s="21"/>
      <c r="CB809" s="21"/>
      <c r="CC809" s="21"/>
      <c r="CD809" s="21"/>
      <c r="CE809" s="21"/>
      <c r="CF809" s="21"/>
      <c r="CG809" s="21"/>
      <c r="CH809" s="21"/>
      <c r="CI809" s="21"/>
      <c r="CJ809" s="21"/>
      <c r="CK809" s="21"/>
      <c r="CL809" s="21"/>
      <c r="CM809" s="21"/>
      <c r="CN809" s="21"/>
      <c r="CO809" s="21"/>
      <c r="CP809" s="21"/>
      <c r="CQ809" s="21"/>
      <c r="CR809" s="21"/>
      <c r="CS809" s="21"/>
      <c r="CT809" s="21"/>
      <c r="CU809" s="21"/>
      <c r="CV809" s="21"/>
      <c r="CW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21"/>
      <c r="BT810" s="21"/>
      <c r="BU810" s="21"/>
      <c r="BV810" s="21"/>
      <c r="BW810" s="21"/>
      <c r="BX810" s="21"/>
      <c r="BY810" s="21"/>
      <c r="BZ810" s="21"/>
      <c r="CA810" s="21"/>
      <c r="CB810" s="21"/>
      <c r="CC810" s="21"/>
      <c r="CD810" s="21"/>
      <c r="CE810" s="21"/>
      <c r="CF810" s="21"/>
      <c r="CG810" s="21"/>
      <c r="CH810" s="21"/>
      <c r="CI810" s="21"/>
      <c r="CJ810" s="21"/>
      <c r="CK810" s="21"/>
      <c r="CL810" s="21"/>
      <c r="CM810" s="21"/>
      <c r="CN810" s="21"/>
      <c r="CO810" s="21"/>
      <c r="CP810" s="21"/>
      <c r="CQ810" s="21"/>
      <c r="CR810" s="21"/>
      <c r="CS810" s="21"/>
      <c r="CT810" s="21"/>
      <c r="CU810" s="21"/>
      <c r="CV810" s="21"/>
      <c r="CW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21"/>
      <c r="BT811" s="21"/>
      <c r="BU811" s="21"/>
      <c r="BV811" s="21"/>
      <c r="BW811" s="21"/>
      <c r="BX811" s="21"/>
      <c r="BY811" s="21"/>
      <c r="BZ811" s="21"/>
      <c r="CA811" s="21"/>
      <c r="CB811" s="21"/>
      <c r="CC811" s="21"/>
      <c r="CD811" s="21"/>
      <c r="CE811" s="21"/>
      <c r="CF811" s="21"/>
      <c r="CG811" s="21"/>
      <c r="CH811" s="21"/>
      <c r="CI811" s="21"/>
      <c r="CJ811" s="21"/>
      <c r="CK811" s="21"/>
      <c r="CL811" s="21"/>
      <c r="CM811" s="21"/>
      <c r="CN811" s="21"/>
      <c r="CO811" s="21"/>
      <c r="CP811" s="21"/>
      <c r="CQ811" s="21"/>
      <c r="CR811" s="21"/>
      <c r="CS811" s="21"/>
      <c r="CT811" s="21"/>
      <c r="CU811" s="21"/>
      <c r="CV811" s="21"/>
      <c r="CW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21"/>
      <c r="BT812" s="21"/>
      <c r="BU812" s="21"/>
      <c r="BV812" s="21"/>
      <c r="BW812" s="21"/>
      <c r="BX812" s="21"/>
      <c r="BY812" s="21"/>
      <c r="BZ812" s="21"/>
      <c r="CA812" s="21"/>
      <c r="CB812" s="21"/>
      <c r="CC812" s="21"/>
      <c r="CD812" s="21"/>
      <c r="CE812" s="21"/>
      <c r="CF812" s="21"/>
      <c r="CG812" s="21"/>
      <c r="CH812" s="21"/>
      <c r="CI812" s="21"/>
      <c r="CJ812" s="21"/>
      <c r="CK812" s="21"/>
      <c r="CL812" s="21"/>
      <c r="CM812" s="21"/>
      <c r="CN812" s="21"/>
      <c r="CO812" s="21"/>
      <c r="CP812" s="21"/>
      <c r="CQ812" s="21"/>
      <c r="CR812" s="21"/>
      <c r="CS812" s="21"/>
      <c r="CT812" s="21"/>
      <c r="CU812" s="21"/>
      <c r="CV812" s="21"/>
      <c r="CW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21"/>
      <c r="BT813" s="21"/>
      <c r="BU813" s="21"/>
      <c r="BV813" s="21"/>
      <c r="BW813" s="21"/>
      <c r="BX813" s="21"/>
      <c r="BY813" s="21"/>
      <c r="BZ813" s="21"/>
      <c r="CA813" s="21"/>
      <c r="CB813" s="21"/>
      <c r="CC813" s="21"/>
      <c r="CD813" s="21"/>
      <c r="CE813" s="21"/>
      <c r="CF813" s="21"/>
      <c r="CG813" s="21"/>
      <c r="CH813" s="21"/>
      <c r="CI813" s="21"/>
      <c r="CJ813" s="21"/>
      <c r="CK813" s="21"/>
      <c r="CL813" s="21"/>
      <c r="CM813" s="21"/>
      <c r="CN813" s="21"/>
      <c r="CO813" s="21"/>
      <c r="CP813" s="21"/>
      <c r="CQ813" s="21"/>
      <c r="CR813" s="21"/>
      <c r="CS813" s="21"/>
      <c r="CT813" s="21"/>
      <c r="CU813" s="21"/>
      <c r="CV813" s="21"/>
      <c r="CW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21"/>
      <c r="BT814" s="21"/>
      <c r="BU814" s="21"/>
      <c r="BV814" s="21"/>
      <c r="BW814" s="21"/>
      <c r="BX814" s="21"/>
      <c r="BY814" s="21"/>
      <c r="BZ814" s="21"/>
      <c r="CA814" s="21"/>
      <c r="CB814" s="21"/>
      <c r="CC814" s="21"/>
      <c r="CD814" s="21"/>
      <c r="CE814" s="21"/>
      <c r="CF814" s="21"/>
      <c r="CG814" s="21"/>
      <c r="CH814" s="21"/>
      <c r="CI814" s="21"/>
      <c r="CJ814" s="21"/>
      <c r="CK814" s="21"/>
      <c r="CL814" s="21"/>
      <c r="CM814" s="21"/>
      <c r="CN814" s="21"/>
      <c r="CO814" s="21"/>
      <c r="CP814" s="21"/>
      <c r="CQ814" s="21"/>
      <c r="CR814" s="21"/>
      <c r="CS814" s="21"/>
      <c r="CT814" s="21"/>
      <c r="CU814" s="21"/>
      <c r="CV814" s="21"/>
      <c r="CW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21"/>
      <c r="BT815" s="21"/>
      <c r="BU815" s="21"/>
      <c r="BV815" s="21"/>
      <c r="BW815" s="21"/>
      <c r="BX815" s="21"/>
      <c r="BY815" s="21"/>
      <c r="BZ815" s="21"/>
      <c r="CA815" s="21"/>
      <c r="CB815" s="21"/>
      <c r="CC815" s="21"/>
      <c r="CD815" s="21"/>
      <c r="CE815" s="21"/>
      <c r="CF815" s="21"/>
      <c r="CG815" s="21"/>
      <c r="CH815" s="21"/>
      <c r="CI815" s="21"/>
      <c r="CJ815" s="21"/>
      <c r="CK815" s="21"/>
      <c r="CL815" s="21"/>
      <c r="CM815" s="21"/>
      <c r="CN815" s="21"/>
      <c r="CO815" s="21"/>
      <c r="CP815" s="21"/>
      <c r="CQ815" s="21"/>
      <c r="CR815" s="21"/>
      <c r="CS815" s="21"/>
      <c r="CT815" s="21"/>
      <c r="CU815" s="21"/>
      <c r="CV815" s="21"/>
      <c r="CW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21"/>
      <c r="BT816" s="21"/>
      <c r="BU816" s="21"/>
      <c r="BV816" s="21"/>
      <c r="BW816" s="21"/>
      <c r="BX816" s="21"/>
      <c r="BY816" s="21"/>
      <c r="BZ816" s="21"/>
      <c r="CA816" s="21"/>
      <c r="CB816" s="21"/>
      <c r="CC816" s="21"/>
      <c r="CD816" s="21"/>
      <c r="CE816" s="21"/>
      <c r="CF816" s="21"/>
      <c r="CG816" s="21"/>
      <c r="CH816" s="21"/>
      <c r="CI816" s="21"/>
      <c r="CJ816" s="21"/>
      <c r="CK816" s="21"/>
      <c r="CL816" s="21"/>
      <c r="CM816" s="21"/>
      <c r="CN816" s="21"/>
      <c r="CO816" s="21"/>
      <c r="CP816" s="21"/>
      <c r="CQ816" s="21"/>
      <c r="CR816" s="21"/>
      <c r="CS816" s="21"/>
      <c r="CT816" s="21"/>
      <c r="CU816" s="21"/>
      <c r="CV816" s="21"/>
      <c r="CW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21"/>
      <c r="BT817" s="21"/>
      <c r="BU817" s="21"/>
      <c r="BV817" s="21"/>
      <c r="BW817" s="21"/>
      <c r="BX817" s="21"/>
      <c r="BY817" s="21"/>
      <c r="BZ817" s="21"/>
      <c r="CA817" s="21"/>
      <c r="CB817" s="21"/>
      <c r="CC817" s="21"/>
      <c r="CD817" s="21"/>
      <c r="CE817" s="21"/>
      <c r="CF817" s="21"/>
      <c r="CG817" s="21"/>
      <c r="CH817" s="21"/>
      <c r="CI817" s="21"/>
      <c r="CJ817" s="21"/>
      <c r="CK817" s="21"/>
      <c r="CL817" s="21"/>
      <c r="CM817" s="21"/>
      <c r="CN817" s="21"/>
      <c r="CO817" s="21"/>
      <c r="CP817" s="21"/>
      <c r="CQ817" s="21"/>
      <c r="CR817" s="21"/>
      <c r="CS817" s="21"/>
      <c r="CT817" s="21"/>
      <c r="CU817" s="21"/>
      <c r="CV817" s="21"/>
      <c r="CW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21"/>
      <c r="BT818" s="21"/>
      <c r="BU818" s="21"/>
      <c r="BV818" s="21"/>
      <c r="BW818" s="21"/>
      <c r="BX818" s="21"/>
      <c r="BY818" s="21"/>
      <c r="BZ818" s="21"/>
      <c r="CA818" s="21"/>
      <c r="CB818" s="21"/>
      <c r="CC818" s="21"/>
      <c r="CD818" s="21"/>
      <c r="CE818" s="21"/>
      <c r="CF818" s="21"/>
      <c r="CG818" s="21"/>
      <c r="CH818" s="21"/>
      <c r="CI818" s="21"/>
      <c r="CJ818" s="21"/>
      <c r="CK818" s="21"/>
      <c r="CL818" s="21"/>
      <c r="CM818" s="21"/>
      <c r="CN818" s="21"/>
      <c r="CO818" s="21"/>
      <c r="CP818" s="21"/>
      <c r="CQ818" s="21"/>
      <c r="CR818" s="21"/>
      <c r="CS818" s="21"/>
      <c r="CT818" s="21"/>
      <c r="CU818" s="21"/>
      <c r="CV818" s="21"/>
      <c r="CW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21"/>
      <c r="BT819" s="21"/>
      <c r="BU819" s="21"/>
      <c r="BV819" s="21"/>
      <c r="BW819" s="21"/>
      <c r="BX819" s="21"/>
      <c r="BY819" s="21"/>
      <c r="BZ819" s="21"/>
      <c r="CA819" s="21"/>
      <c r="CB819" s="21"/>
      <c r="CC819" s="21"/>
      <c r="CD819" s="21"/>
      <c r="CE819" s="21"/>
      <c r="CF819" s="21"/>
      <c r="CG819" s="21"/>
      <c r="CH819" s="21"/>
      <c r="CI819" s="21"/>
      <c r="CJ819" s="21"/>
      <c r="CK819" s="21"/>
      <c r="CL819" s="21"/>
      <c r="CM819" s="21"/>
      <c r="CN819" s="21"/>
      <c r="CO819" s="21"/>
      <c r="CP819" s="21"/>
      <c r="CQ819" s="21"/>
      <c r="CR819" s="21"/>
      <c r="CS819" s="21"/>
      <c r="CT819" s="21"/>
      <c r="CU819" s="21"/>
      <c r="CV819" s="21"/>
      <c r="CW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21"/>
      <c r="BT820" s="21"/>
      <c r="BU820" s="21"/>
      <c r="BV820" s="21"/>
      <c r="BW820" s="21"/>
      <c r="BX820" s="21"/>
      <c r="BY820" s="21"/>
      <c r="BZ820" s="21"/>
      <c r="CA820" s="21"/>
      <c r="CB820" s="21"/>
      <c r="CC820" s="21"/>
      <c r="CD820" s="21"/>
      <c r="CE820" s="21"/>
      <c r="CF820" s="21"/>
      <c r="CG820" s="21"/>
      <c r="CH820" s="21"/>
      <c r="CI820" s="21"/>
      <c r="CJ820" s="21"/>
      <c r="CK820" s="21"/>
      <c r="CL820" s="21"/>
      <c r="CM820" s="21"/>
      <c r="CN820" s="21"/>
      <c r="CO820" s="21"/>
      <c r="CP820" s="21"/>
      <c r="CQ820" s="21"/>
      <c r="CR820" s="21"/>
      <c r="CS820" s="21"/>
      <c r="CT820" s="21"/>
      <c r="CU820" s="21"/>
      <c r="CV820" s="21"/>
      <c r="CW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21"/>
      <c r="BT821" s="21"/>
      <c r="BU821" s="21"/>
      <c r="BV821" s="21"/>
      <c r="BW821" s="21"/>
      <c r="BX821" s="21"/>
      <c r="BY821" s="21"/>
      <c r="BZ821" s="21"/>
      <c r="CA821" s="21"/>
      <c r="CB821" s="21"/>
      <c r="CC821" s="21"/>
      <c r="CD821" s="21"/>
      <c r="CE821" s="21"/>
      <c r="CF821" s="21"/>
      <c r="CG821" s="21"/>
      <c r="CH821" s="21"/>
      <c r="CI821" s="21"/>
      <c r="CJ821" s="21"/>
      <c r="CK821" s="21"/>
      <c r="CL821" s="21"/>
      <c r="CM821" s="21"/>
      <c r="CN821" s="21"/>
      <c r="CO821" s="21"/>
      <c r="CP821" s="21"/>
      <c r="CQ821" s="21"/>
      <c r="CR821" s="21"/>
      <c r="CS821" s="21"/>
      <c r="CT821" s="21"/>
      <c r="CU821" s="21"/>
      <c r="CV821" s="21"/>
      <c r="CW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21"/>
      <c r="BT822" s="21"/>
      <c r="BU822" s="21"/>
      <c r="BV822" s="21"/>
      <c r="BW822" s="21"/>
      <c r="BX822" s="21"/>
      <c r="BY822" s="21"/>
      <c r="BZ822" s="21"/>
      <c r="CA822" s="21"/>
      <c r="CB822" s="21"/>
      <c r="CC822" s="21"/>
      <c r="CD822" s="21"/>
      <c r="CE822" s="21"/>
      <c r="CF822" s="21"/>
      <c r="CG822" s="21"/>
      <c r="CH822" s="21"/>
      <c r="CI822" s="21"/>
      <c r="CJ822" s="21"/>
      <c r="CK822" s="21"/>
      <c r="CL822" s="21"/>
      <c r="CM822" s="21"/>
      <c r="CN822" s="21"/>
      <c r="CO822" s="21"/>
      <c r="CP822" s="21"/>
      <c r="CQ822" s="21"/>
      <c r="CR822" s="21"/>
      <c r="CS822" s="21"/>
      <c r="CT822" s="21"/>
      <c r="CU822" s="21"/>
      <c r="CV822" s="21"/>
      <c r="CW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21"/>
      <c r="BT823" s="21"/>
      <c r="BU823" s="21"/>
      <c r="BV823" s="21"/>
      <c r="BW823" s="21"/>
      <c r="BX823" s="21"/>
      <c r="BY823" s="21"/>
      <c r="BZ823" s="21"/>
      <c r="CA823" s="21"/>
      <c r="CB823" s="21"/>
      <c r="CC823" s="21"/>
      <c r="CD823" s="21"/>
      <c r="CE823" s="21"/>
      <c r="CF823" s="21"/>
      <c r="CG823" s="21"/>
      <c r="CH823" s="21"/>
      <c r="CI823" s="21"/>
      <c r="CJ823" s="21"/>
      <c r="CK823" s="21"/>
      <c r="CL823" s="21"/>
      <c r="CM823" s="21"/>
      <c r="CN823" s="21"/>
      <c r="CO823" s="21"/>
      <c r="CP823" s="21"/>
      <c r="CQ823" s="21"/>
      <c r="CR823" s="21"/>
      <c r="CS823" s="21"/>
      <c r="CT823" s="21"/>
      <c r="CU823" s="21"/>
      <c r="CV823" s="21"/>
      <c r="CW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21"/>
      <c r="BT824" s="21"/>
      <c r="BU824" s="21"/>
      <c r="BV824" s="21"/>
      <c r="BW824" s="21"/>
      <c r="BX824" s="21"/>
      <c r="BY824" s="21"/>
      <c r="BZ824" s="21"/>
      <c r="CA824" s="21"/>
      <c r="CB824" s="21"/>
      <c r="CC824" s="21"/>
      <c r="CD824" s="21"/>
      <c r="CE824" s="21"/>
      <c r="CF824" s="21"/>
      <c r="CG824" s="21"/>
      <c r="CH824" s="21"/>
      <c r="CI824" s="21"/>
      <c r="CJ824" s="21"/>
      <c r="CK824" s="21"/>
      <c r="CL824" s="21"/>
      <c r="CM824" s="21"/>
      <c r="CN824" s="21"/>
      <c r="CO824" s="21"/>
      <c r="CP824" s="21"/>
      <c r="CQ824" s="21"/>
      <c r="CR824" s="21"/>
      <c r="CS824" s="21"/>
      <c r="CT824" s="21"/>
      <c r="CU824" s="21"/>
      <c r="CV824" s="21"/>
      <c r="CW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21"/>
      <c r="BT825" s="21"/>
      <c r="BU825" s="21"/>
      <c r="BV825" s="21"/>
      <c r="BW825" s="21"/>
      <c r="BX825" s="21"/>
      <c r="BY825" s="21"/>
      <c r="BZ825" s="21"/>
      <c r="CA825" s="21"/>
      <c r="CB825" s="21"/>
      <c r="CC825" s="21"/>
      <c r="CD825" s="21"/>
      <c r="CE825" s="21"/>
      <c r="CF825" s="21"/>
      <c r="CG825" s="21"/>
      <c r="CH825" s="21"/>
      <c r="CI825" s="21"/>
      <c r="CJ825" s="21"/>
      <c r="CK825" s="21"/>
      <c r="CL825" s="21"/>
      <c r="CM825" s="21"/>
      <c r="CN825" s="21"/>
      <c r="CO825" s="21"/>
      <c r="CP825" s="21"/>
      <c r="CQ825" s="21"/>
      <c r="CR825" s="21"/>
      <c r="CS825" s="21"/>
      <c r="CT825" s="21"/>
      <c r="CU825" s="21"/>
      <c r="CV825" s="21"/>
      <c r="CW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21"/>
      <c r="BT826" s="21"/>
      <c r="BU826" s="21"/>
      <c r="BV826" s="21"/>
      <c r="BW826" s="21"/>
      <c r="BX826" s="21"/>
      <c r="BY826" s="21"/>
      <c r="BZ826" s="21"/>
      <c r="CA826" s="21"/>
      <c r="CB826" s="21"/>
      <c r="CC826" s="21"/>
      <c r="CD826" s="21"/>
      <c r="CE826" s="21"/>
      <c r="CF826" s="21"/>
      <c r="CG826" s="21"/>
      <c r="CH826" s="21"/>
      <c r="CI826" s="21"/>
      <c r="CJ826" s="21"/>
      <c r="CK826" s="21"/>
      <c r="CL826" s="21"/>
      <c r="CM826" s="21"/>
      <c r="CN826" s="21"/>
      <c r="CO826" s="21"/>
      <c r="CP826" s="21"/>
      <c r="CQ826" s="21"/>
      <c r="CR826" s="21"/>
      <c r="CS826" s="21"/>
      <c r="CT826" s="21"/>
      <c r="CU826" s="21"/>
      <c r="CV826" s="21"/>
      <c r="CW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21"/>
      <c r="BT827" s="21"/>
      <c r="BU827" s="21"/>
      <c r="BV827" s="21"/>
      <c r="BW827" s="21"/>
      <c r="BX827" s="21"/>
      <c r="BY827" s="21"/>
      <c r="BZ827" s="21"/>
      <c r="CA827" s="21"/>
      <c r="CB827" s="21"/>
      <c r="CC827" s="21"/>
      <c r="CD827" s="21"/>
      <c r="CE827" s="21"/>
      <c r="CF827" s="21"/>
      <c r="CG827" s="21"/>
      <c r="CH827" s="21"/>
      <c r="CI827" s="21"/>
      <c r="CJ827" s="21"/>
      <c r="CK827" s="21"/>
      <c r="CL827" s="21"/>
      <c r="CM827" s="21"/>
      <c r="CN827" s="21"/>
      <c r="CO827" s="21"/>
      <c r="CP827" s="21"/>
      <c r="CQ827" s="21"/>
      <c r="CR827" s="21"/>
      <c r="CS827" s="21"/>
      <c r="CT827" s="21"/>
      <c r="CU827" s="21"/>
      <c r="CV827" s="21"/>
      <c r="CW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21"/>
      <c r="BT828" s="21"/>
      <c r="BU828" s="21"/>
      <c r="BV828" s="21"/>
      <c r="BW828" s="21"/>
      <c r="BX828" s="21"/>
      <c r="BY828" s="21"/>
      <c r="BZ828" s="21"/>
      <c r="CA828" s="21"/>
      <c r="CB828" s="21"/>
      <c r="CC828" s="21"/>
      <c r="CD828" s="21"/>
      <c r="CE828" s="21"/>
      <c r="CF828" s="21"/>
      <c r="CG828" s="21"/>
      <c r="CH828" s="21"/>
      <c r="CI828" s="21"/>
      <c r="CJ828" s="21"/>
      <c r="CK828" s="21"/>
      <c r="CL828" s="21"/>
      <c r="CM828" s="21"/>
      <c r="CN828" s="21"/>
      <c r="CO828" s="21"/>
      <c r="CP828" s="21"/>
      <c r="CQ828" s="21"/>
      <c r="CR828" s="21"/>
      <c r="CS828" s="21"/>
      <c r="CT828" s="21"/>
      <c r="CU828" s="21"/>
      <c r="CV828" s="21"/>
      <c r="CW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21"/>
      <c r="BT829" s="21"/>
      <c r="BU829" s="21"/>
      <c r="BV829" s="21"/>
      <c r="BW829" s="21"/>
      <c r="BX829" s="21"/>
      <c r="BY829" s="21"/>
      <c r="BZ829" s="21"/>
      <c r="CA829" s="21"/>
      <c r="CB829" s="21"/>
      <c r="CC829" s="21"/>
      <c r="CD829" s="21"/>
      <c r="CE829" s="21"/>
      <c r="CF829" s="21"/>
      <c r="CG829" s="21"/>
      <c r="CH829" s="21"/>
      <c r="CI829" s="21"/>
      <c r="CJ829" s="21"/>
      <c r="CK829" s="21"/>
      <c r="CL829" s="21"/>
      <c r="CM829" s="21"/>
      <c r="CN829" s="21"/>
      <c r="CO829" s="21"/>
      <c r="CP829" s="21"/>
      <c r="CQ829" s="21"/>
      <c r="CR829" s="21"/>
      <c r="CS829" s="21"/>
      <c r="CT829" s="21"/>
      <c r="CU829" s="21"/>
      <c r="CV829" s="21"/>
      <c r="CW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21"/>
      <c r="BT830" s="21"/>
      <c r="BU830" s="21"/>
      <c r="BV830" s="21"/>
      <c r="BW830" s="21"/>
      <c r="BX830" s="21"/>
      <c r="BY830" s="21"/>
      <c r="BZ830" s="21"/>
      <c r="CA830" s="21"/>
      <c r="CB830" s="21"/>
      <c r="CC830" s="21"/>
      <c r="CD830" s="21"/>
      <c r="CE830" s="21"/>
      <c r="CF830" s="21"/>
      <c r="CG830" s="21"/>
      <c r="CH830" s="21"/>
      <c r="CI830" s="21"/>
      <c r="CJ830" s="21"/>
      <c r="CK830" s="21"/>
      <c r="CL830" s="21"/>
      <c r="CM830" s="21"/>
      <c r="CN830" s="21"/>
      <c r="CO830" s="21"/>
      <c r="CP830" s="21"/>
      <c r="CQ830" s="21"/>
      <c r="CR830" s="21"/>
      <c r="CS830" s="21"/>
      <c r="CT830" s="21"/>
      <c r="CU830" s="21"/>
      <c r="CV830" s="21"/>
      <c r="CW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21"/>
      <c r="BT831" s="21"/>
      <c r="BU831" s="21"/>
      <c r="BV831" s="21"/>
      <c r="BW831" s="21"/>
      <c r="BX831" s="21"/>
      <c r="BY831" s="21"/>
      <c r="BZ831" s="21"/>
      <c r="CA831" s="21"/>
      <c r="CB831" s="21"/>
      <c r="CC831" s="21"/>
      <c r="CD831" s="21"/>
      <c r="CE831" s="21"/>
      <c r="CF831" s="21"/>
      <c r="CG831" s="21"/>
      <c r="CH831" s="21"/>
      <c r="CI831" s="21"/>
      <c r="CJ831" s="21"/>
      <c r="CK831" s="21"/>
      <c r="CL831" s="21"/>
      <c r="CM831" s="21"/>
      <c r="CN831" s="21"/>
      <c r="CO831" s="21"/>
      <c r="CP831" s="21"/>
      <c r="CQ831" s="21"/>
      <c r="CR831" s="21"/>
      <c r="CS831" s="21"/>
      <c r="CT831" s="21"/>
      <c r="CU831" s="21"/>
      <c r="CV831" s="21"/>
      <c r="CW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21"/>
      <c r="BT832" s="21"/>
      <c r="BU832" s="21"/>
      <c r="BV832" s="21"/>
      <c r="BW832" s="21"/>
      <c r="BX832" s="21"/>
      <c r="BY832" s="21"/>
      <c r="BZ832" s="21"/>
      <c r="CA832" s="21"/>
      <c r="CB832" s="21"/>
      <c r="CC832" s="21"/>
      <c r="CD832" s="21"/>
      <c r="CE832" s="21"/>
      <c r="CF832" s="21"/>
      <c r="CG832" s="21"/>
      <c r="CH832" s="21"/>
      <c r="CI832" s="21"/>
      <c r="CJ832" s="21"/>
      <c r="CK832" s="21"/>
      <c r="CL832" s="21"/>
      <c r="CM832" s="21"/>
      <c r="CN832" s="21"/>
      <c r="CO832" s="21"/>
      <c r="CP832" s="21"/>
      <c r="CQ832" s="21"/>
      <c r="CR832" s="21"/>
      <c r="CS832" s="21"/>
      <c r="CT832" s="21"/>
      <c r="CU832" s="21"/>
      <c r="CV832" s="21"/>
      <c r="CW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21"/>
      <c r="BT833" s="21"/>
      <c r="BU833" s="21"/>
      <c r="BV833" s="21"/>
      <c r="BW833" s="21"/>
      <c r="BX833" s="21"/>
      <c r="BY833" s="21"/>
      <c r="BZ833" s="21"/>
      <c r="CA833" s="21"/>
      <c r="CB833" s="21"/>
      <c r="CC833" s="21"/>
      <c r="CD833" s="21"/>
      <c r="CE833" s="21"/>
      <c r="CF833" s="21"/>
      <c r="CG833" s="21"/>
      <c r="CH833" s="21"/>
      <c r="CI833" s="21"/>
      <c r="CJ833" s="21"/>
      <c r="CK833" s="21"/>
      <c r="CL833" s="21"/>
      <c r="CM833" s="21"/>
      <c r="CN833" s="21"/>
      <c r="CO833" s="21"/>
      <c r="CP833" s="21"/>
      <c r="CQ833" s="21"/>
      <c r="CR833" s="21"/>
      <c r="CS833" s="21"/>
      <c r="CT833" s="21"/>
      <c r="CU833" s="21"/>
      <c r="CV833" s="21"/>
      <c r="CW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21"/>
      <c r="BT834" s="21"/>
      <c r="BU834" s="21"/>
      <c r="BV834" s="21"/>
      <c r="BW834" s="21"/>
      <c r="BX834" s="21"/>
      <c r="BY834" s="21"/>
      <c r="BZ834" s="21"/>
      <c r="CA834" s="21"/>
      <c r="CB834" s="21"/>
      <c r="CC834" s="21"/>
      <c r="CD834" s="21"/>
      <c r="CE834" s="21"/>
      <c r="CF834" s="21"/>
      <c r="CG834" s="21"/>
      <c r="CH834" s="21"/>
      <c r="CI834" s="21"/>
      <c r="CJ834" s="21"/>
      <c r="CK834" s="21"/>
      <c r="CL834" s="21"/>
      <c r="CM834" s="21"/>
      <c r="CN834" s="21"/>
      <c r="CO834" s="21"/>
      <c r="CP834" s="21"/>
      <c r="CQ834" s="21"/>
      <c r="CR834" s="21"/>
      <c r="CS834" s="21"/>
      <c r="CT834" s="21"/>
      <c r="CU834" s="21"/>
      <c r="CV834" s="21"/>
      <c r="CW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21"/>
      <c r="BT835" s="21"/>
      <c r="BU835" s="21"/>
      <c r="BV835" s="21"/>
      <c r="BW835" s="21"/>
      <c r="BX835" s="21"/>
      <c r="BY835" s="21"/>
      <c r="BZ835" s="21"/>
      <c r="CA835" s="21"/>
      <c r="CB835" s="21"/>
      <c r="CC835" s="21"/>
      <c r="CD835" s="21"/>
      <c r="CE835" s="21"/>
      <c r="CF835" s="21"/>
      <c r="CG835" s="21"/>
      <c r="CH835" s="21"/>
      <c r="CI835" s="21"/>
      <c r="CJ835" s="21"/>
      <c r="CK835" s="21"/>
      <c r="CL835" s="21"/>
      <c r="CM835" s="21"/>
      <c r="CN835" s="21"/>
      <c r="CO835" s="21"/>
      <c r="CP835" s="21"/>
      <c r="CQ835" s="21"/>
      <c r="CR835" s="21"/>
      <c r="CS835" s="21"/>
      <c r="CT835" s="21"/>
      <c r="CU835" s="21"/>
      <c r="CV835" s="21"/>
      <c r="CW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21"/>
      <c r="BT836" s="21"/>
      <c r="BU836" s="21"/>
      <c r="BV836" s="21"/>
      <c r="BW836" s="21"/>
      <c r="BX836" s="21"/>
      <c r="BY836" s="21"/>
      <c r="BZ836" s="21"/>
      <c r="CA836" s="21"/>
      <c r="CB836" s="21"/>
      <c r="CC836" s="21"/>
      <c r="CD836" s="21"/>
      <c r="CE836" s="21"/>
      <c r="CF836" s="21"/>
      <c r="CG836" s="21"/>
      <c r="CH836" s="21"/>
      <c r="CI836" s="21"/>
      <c r="CJ836" s="21"/>
      <c r="CK836" s="21"/>
      <c r="CL836" s="21"/>
      <c r="CM836" s="21"/>
      <c r="CN836" s="21"/>
      <c r="CO836" s="21"/>
      <c r="CP836" s="21"/>
      <c r="CQ836" s="21"/>
      <c r="CR836" s="21"/>
      <c r="CS836" s="21"/>
      <c r="CT836" s="21"/>
      <c r="CU836" s="21"/>
      <c r="CV836" s="21"/>
      <c r="CW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21"/>
      <c r="BT837" s="21"/>
      <c r="BU837" s="21"/>
      <c r="BV837" s="21"/>
      <c r="BW837" s="21"/>
      <c r="BX837" s="21"/>
      <c r="BY837" s="21"/>
      <c r="BZ837" s="21"/>
      <c r="CA837" s="21"/>
      <c r="CB837" s="21"/>
      <c r="CC837" s="21"/>
      <c r="CD837" s="21"/>
      <c r="CE837" s="21"/>
      <c r="CF837" s="21"/>
      <c r="CG837" s="21"/>
      <c r="CH837" s="21"/>
      <c r="CI837" s="21"/>
      <c r="CJ837" s="21"/>
      <c r="CK837" s="21"/>
      <c r="CL837" s="21"/>
      <c r="CM837" s="21"/>
      <c r="CN837" s="21"/>
      <c r="CO837" s="21"/>
      <c r="CP837" s="21"/>
      <c r="CQ837" s="21"/>
      <c r="CR837" s="21"/>
      <c r="CS837" s="21"/>
      <c r="CT837" s="21"/>
      <c r="CU837" s="21"/>
      <c r="CV837" s="21"/>
      <c r="CW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21"/>
      <c r="BT838" s="21"/>
      <c r="BU838" s="21"/>
      <c r="BV838" s="21"/>
      <c r="BW838" s="21"/>
      <c r="BX838" s="21"/>
      <c r="BY838" s="21"/>
      <c r="BZ838" s="21"/>
      <c r="CA838" s="21"/>
      <c r="CB838" s="21"/>
      <c r="CC838" s="21"/>
      <c r="CD838" s="21"/>
      <c r="CE838" s="21"/>
      <c r="CF838" s="21"/>
      <c r="CG838" s="21"/>
      <c r="CH838" s="21"/>
      <c r="CI838" s="21"/>
      <c r="CJ838" s="21"/>
      <c r="CK838" s="21"/>
      <c r="CL838" s="21"/>
      <c r="CM838" s="21"/>
      <c r="CN838" s="21"/>
      <c r="CO838" s="21"/>
      <c r="CP838" s="21"/>
      <c r="CQ838" s="21"/>
      <c r="CR838" s="21"/>
      <c r="CS838" s="21"/>
      <c r="CT838" s="21"/>
      <c r="CU838" s="21"/>
      <c r="CV838" s="21"/>
      <c r="CW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21"/>
      <c r="BT839" s="21"/>
      <c r="BU839" s="21"/>
      <c r="BV839" s="21"/>
      <c r="BW839" s="21"/>
      <c r="BX839" s="21"/>
      <c r="BY839" s="21"/>
      <c r="BZ839" s="21"/>
      <c r="CA839" s="21"/>
      <c r="CB839" s="21"/>
      <c r="CC839" s="21"/>
      <c r="CD839" s="21"/>
      <c r="CE839" s="21"/>
      <c r="CF839" s="21"/>
      <c r="CG839" s="21"/>
      <c r="CH839" s="21"/>
      <c r="CI839" s="21"/>
      <c r="CJ839" s="21"/>
      <c r="CK839" s="21"/>
      <c r="CL839" s="21"/>
      <c r="CM839" s="21"/>
      <c r="CN839" s="21"/>
      <c r="CO839" s="21"/>
      <c r="CP839" s="21"/>
      <c r="CQ839" s="21"/>
      <c r="CR839" s="21"/>
      <c r="CS839" s="21"/>
      <c r="CT839" s="21"/>
      <c r="CU839" s="21"/>
      <c r="CV839" s="21"/>
      <c r="CW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21"/>
      <c r="BT840" s="21"/>
      <c r="BU840" s="21"/>
      <c r="BV840" s="21"/>
      <c r="BW840" s="21"/>
      <c r="BX840" s="21"/>
      <c r="BY840" s="21"/>
      <c r="BZ840" s="21"/>
      <c r="CA840" s="21"/>
      <c r="CB840" s="21"/>
      <c r="CC840" s="21"/>
      <c r="CD840" s="21"/>
      <c r="CE840" s="21"/>
      <c r="CF840" s="21"/>
      <c r="CG840" s="21"/>
      <c r="CH840" s="21"/>
      <c r="CI840" s="21"/>
      <c r="CJ840" s="21"/>
      <c r="CK840" s="21"/>
      <c r="CL840" s="21"/>
      <c r="CM840" s="21"/>
      <c r="CN840" s="21"/>
      <c r="CO840" s="21"/>
      <c r="CP840" s="21"/>
      <c r="CQ840" s="21"/>
      <c r="CR840" s="21"/>
      <c r="CS840" s="21"/>
      <c r="CT840" s="21"/>
      <c r="CU840" s="21"/>
      <c r="CV840" s="21"/>
      <c r="CW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21"/>
      <c r="BT841" s="21"/>
      <c r="BU841" s="21"/>
      <c r="BV841" s="21"/>
      <c r="BW841" s="21"/>
      <c r="BX841" s="21"/>
      <c r="BY841" s="21"/>
      <c r="BZ841" s="21"/>
      <c r="CA841" s="21"/>
      <c r="CB841" s="21"/>
      <c r="CC841" s="21"/>
      <c r="CD841" s="21"/>
      <c r="CE841" s="21"/>
      <c r="CF841" s="21"/>
      <c r="CG841" s="21"/>
      <c r="CH841" s="21"/>
      <c r="CI841" s="21"/>
      <c r="CJ841" s="21"/>
      <c r="CK841" s="21"/>
      <c r="CL841" s="21"/>
      <c r="CM841" s="21"/>
      <c r="CN841" s="21"/>
      <c r="CO841" s="21"/>
      <c r="CP841" s="21"/>
      <c r="CQ841" s="21"/>
      <c r="CR841" s="21"/>
      <c r="CS841" s="21"/>
      <c r="CT841" s="21"/>
      <c r="CU841" s="21"/>
      <c r="CV841" s="21"/>
      <c r="CW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21"/>
      <c r="BT842" s="21"/>
      <c r="BU842" s="21"/>
      <c r="BV842" s="21"/>
      <c r="BW842" s="21"/>
      <c r="BX842" s="21"/>
      <c r="BY842" s="21"/>
      <c r="BZ842" s="21"/>
      <c r="CA842" s="21"/>
      <c r="CB842" s="21"/>
      <c r="CC842" s="21"/>
      <c r="CD842" s="21"/>
      <c r="CE842" s="21"/>
      <c r="CF842" s="21"/>
      <c r="CG842" s="21"/>
      <c r="CH842" s="21"/>
      <c r="CI842" s="21"/>
      <c r="CJ842" s="21"/>
      <c r="CK842" s="21"/>
      <c r="CL842" s="21"/>
      <c r="CM842" s="21"/>
      <c r="CN842" s="21"/>
      <c r="CO842" s="21"/>
      <c r="CP842" s="21"/>
      <c r="CQ842" s="21"/>
      <c r="CR842" s="21"/>
      <c r="CS842" s="21"/>
      <c r="CT842" s="21"/>
      <c r="CU842" s="21"/>
      <c r="CV842" s="21"/>
      <c r="CW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21"/>
      <c r="BT843" s="21"/>
      <c r="BU843" s="21"/>
      <c r="BV843" s="21"/>
      <c r="BW843" s="21"/>
      <c r="BX843" s="21"/>
      <c r="BY843" s="21"/>
      <c r="BZ843" s="21"/>
      <c r="CA843" s="21"/>
      <c r="CB843" s="21"/>
      <c r="CC843" s="21"/>
      <c r="CD843" s="21"/>
      <c r="CE843" s="21"/>
      <c r="CF843" s="21"/>
      <c r="CG843" s="21"/>
      <c r="CH843" s="21"/>
      <c r="CI843" s="21"/>
      <c r="CJ843" s="21"/>
      <c r="CK843" s="21"/>
      <c r="CL843" s="21"/>
      <c r="CM843" s="21"/>
      <c r="CN843" s="21"/>
      <c r="CO843" s="21"/>
      <c r="CP843" s="21"/>
      <c r="CQ843" s="21"/>
      <c r="CR843" s="21"/>
      <c r="CS843" s="21"/>
      <c r="CT843" s="21"/>
      <c r="CU843" s="21"/>
      <c r="CV843" s="21"/>
      <c r="CW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21"/>
      <c r="BT844" s="21"/>
      <c r="BU844" s="21"/>
      <c r="BV844" s="21"/>
      <c r="BW844" s="21"/>
      <c r="BX844" s="21"/>
      <c r="BY844" s="21"/>
      <c r="BZ844" s="21"/>
      <c r="CA844" s="21"/>
      <c r="CB844" s="21"/>
      <c r="CC844" s="21"/>
      <c r="CD844" s="21"/>
      <c r="CE844" s="21"/>
      <c r="CF844" s="21"/>
      <c r="CG844" s="21"/>
      <c r="CH844" s="21"/>
      <c r="CI844" s="21"/>
      <c r="CJ844" s="21"/>
      <c r="CK844" s="21"/>
      <c r="CL844" s="21"/>
      <c r="CM844" s="21"/>
      <c r="CN844" s="21"/>
      <c r="CO844" s="21"/>
      <c r="CP844" s="21"/>
      <c r="CQ844" s="21"/>
      <c r="CR844" s="21"/>
      <c r="CS844" s="21"/>
      <c r="CT844" s="21"/>
      <c r="CU844" s="21"/>
      <c r="CV844" s="21"/>
      <c r="CW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21"/>
      <c r="BT845" s="21"/>
      <c r="BU845" s="21"/>
      <c r="BV845" s="21"/>
      <c r="BW845" s="21"/>
      <c r="BX845" s="21"/>
      <c r="BY845" s="21"/>
      <c r="BZ845" s="21"/>
      <c r="CA845" s="21"/>
      <c r="CB845" s="21"/>
      <c r="CC845" s="21"/>
      <c r="CD845" s="21"/>
      <c r="CE845" s="21"/>
      <c r="CF845" s="21"/>
      <c r="CG845" s="21"/>
      <c r="CH845" s="21"/>
      <c r="CI845" s="21"/>
      <c r="CJ845" s="21"/>
      <c r="CK845" s="21"/>
      <c r="CL845" s="21"/>
      <c r="CM845" s="21"/>
      <c r="CN845" s="21"/>
      <c r="CO845" s="21"/>
      <c r="CP845" s="21"/>
      <c r="CQ845" s="21"/>
      <c r="CR845" s="21"/>
      <c r="CS845" s="21"/>
      <c r="CT845" s="21"/>
      <c r="CU845" s="21"/>
      <c r="CV845" s="21"/>
      <c r="CW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21"/>
      <c r="BT846" s="21"/>
      <c r="BU846" s="21"/>
      <c r="BV846" s="21"/>
      <c r="BW846" s="21"/>
      <c r="BX846" s="21"/>
      <c r="BY846" s="21"/>
      <c r="BZ846" s="21"/>
      <c r="CA846" s="21"/>
      <c r="CB846" s="21"/>
      <c r="CC846" s="21"/>
      <c r="CD846" s="21"/>
      <c r="CE846" s="21"/>
      <c r="CF846" s="21"/>
      <c r="CG846" s="21"/>
      <c r="CH846" s="21"/>
      <c r="CI846" s="21"/>
      <c r="CJ846" s="21"/>
      <c r="CK846" s="21"/>
      <c r="CL846" s="21"/>
      <c r="CM846" s="21"/>
      <c r="CN846" s="21"/>
      <c r="CO846" s="21"/>
      <c r="CP846" s="21"/>
      <c r="CQ846" s="21"/>
      <c r="CR846" s="21"/>
      <c r="CS846" s="21"/>
      <c r="CT846" s="21"/>
      <c r="CU846" s="21"/>
      <c r="CV846" s="21"/>
      <c r="CW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21"/>
      <c r="BT847" s="21"/>
      <c r="BU847" s="21"/>
      <c r="BV847" s="21"/>
      <c r="BW847" s="21"/>
      <c r="BX847" s="21"/>
      <c r="BY847" s="21"/>
      <c r="BZ847" s="21"/>
      <c r="CA847" s="21"/>
      <c r="CB847" s="21"/>
      <c r="CC847" s="21"/>
      <c r="CD847" s="21"/>
      <c r="CE847" s="21"/>
      <c r="CF847" s="21"/>
      <c r="CG847" s="21"/>
      <c r="CH847" s="21"/>
      <c r="CI847" s="21"/>
      <c r="CJ847" s="21"/>
      <c r="CK847" s="21"/>
      <c r="CL847" s="21"/>
      <c r="CM847" s="21"/>
      <c r="CN847" s="21"/>
      <c r="CO847" s="21"/>
      <c r="CP847" s="21"/>
      <c r="CQ847" s="21"/>
      <c r="CR847" s="21"/>
      <c r="CS847" s="21"/>
      <c r="CT847" s="21"/>
      <c r="CU847" s="21"/>
      <c r="CV847" s="21"/>
      <c r="CW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21"/>
      <c r="BT848" s="21"/>
      <c r="BU848" s="21"/>
      <c r="BV848" s="21"/>
      <c r="BW848" s="21"/>
      <c r="BX848" s="21"/>
      <c r="BY848" s="21"/>
      <c r="BZ848" s="21"/>
      <c r="CA848" s="21"/>
      <c r="CB848" s="21"/>
      <c r="CC848" s="21"/>
      <c r="CD848" s="21"/>
      <c r="CE848" s="21"/>
      <c r="CF848" s="21"/>
      <c r="CG848" s="21"/>
      <c r="CH848" s="21"/>
      <c r="CI848" s="21"/>
      <c r="CJ848" s="21"/>
      <c r="CK848" s="21"/>
      <c r="CL848" s="21"/>
      <c r="CM848" s="21"/>
      <c r="CN848" s="21"/>
      <c r="CO848" s="21"/>
      <c r="CP848" s="21"/>
      <c r="CQ848" s="21"/>
      <c r="CR848" s="21"/>
      <c r="CS848" s="21"/>
      <c r="CT848" s="21"/>
      <c r="CU848" s="21"/>
      <c r="CV848" s="21"/>
      <c r="CW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21"/>
      <c r="BT849" s="21"/>
      <c r="BU849" s="21"/>
      <c r="BV849" s="21"/>
      <c r="BW849" s="21"/>
      <c r="BX849" s="21"/>
      <c r="BY849" s="21"/>
      <c r="BZ849" s="21"/>
      <c r="CA849" s="21"/>
      <c r="CB849" s="21"/>
      <c r="CC849" s="21"/>
      <c r="CD849" s="21"/>
      <c r="CE849" s="21"/>
      <c r="CF849" s="21"/>
      <c r="CG849" s="21"/>
      <c r="CH849" s="21"/>
      <c r="CI849" s="21"/>
      <c r="CJ849" s="21"/>
      <c r="CK849" s="21"/>
      <c r="CL849" s="21"/>
      <c r="CM849" s="21"/>
      <c r="CN849" s="21"/>
      <c r="CO849" s="21"/>
      <c r="CP849" s="21"/>
      <c r="CQ849" s="21"/>
      <c r="CR849" s="21"/>
      <c r="CS849" s="21"/>
      <c r="CT849" s="21"/>
      <c r="CU849" s="21"/>
      <c r="CV849" s="21"/>
      <c r="CW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21"/>
      <c r="BT850" s="21"/>
      <c r="BU850" s="21"/>
      <c r="BV850" s="21"/>
      <c r="BW850" s="21"/>
      <c r="BX850" s="21"/>
      <c r="BY850" s="21"/>
      <c r="BZ850" s="21"/>
      <c r="CA850" s="21"/>
      <c r="CB850" s="21"/>
      <c r="CC850" s="21"/>
      <c r="CD850" s="21"/>
      <c r="CE850" s="21"/>
      <c r="CF850" s="21"/>
      <c r="CG850" s="21"/>
      <c r="CH850" s="21"/>
      <c r="CI850" s="21"/>
      <c r="CJ850" s="21"/>
      <c r="CK850" s="21"/>
      <c r="CL850" s="21"/>
      <c r="CM850" s="21"/>
      <c r="CN850" s="21"/>
      <c r="CO850" s="21"/>
      <c r="CP850" s="21"/>
      <c r="CQ850" s="21"/>
      <c r="CR850" s="21"/>
      <c r="CS850" s="21"/>
      <c r="CT850" s="21"/>
      <c r="CU850" s="21"/>
      <c r="CV850" s="21"/>
      <c r="CW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21"/>
      <c r="BT851" s="21"/>
      <c r="BU851" s="21"/>
      <c r="BV851" s="21"/>
      <c r="BW851" s="21"/>
      <c r="BX851" s="21"/>
      <c r="BY851" s="21"/>
      <c r="BZ851" s="21"/>
      <c r="CA851" s="21"/>
      <c r="CB851" s="21"/>
      <c r="CC851" s="21"/>
      <c r="CD851" s="21"/>
      <c r="CE851" s="21"/>
      <c r="CF851" s="21"/>
      <c r="CG851" s="21"/>
      <c r="CH851" s="21"/>
      <c r="CI851" s="21"/>
      <c r="CJ851" s="21"/>
      <c r="CK851" s="21"/>
      <c r="CL851" s="21"/>
      <c r="CM851" s="21"/>
      <c r="CN851" s="21"/>
      <c r="CO851" s="21"/>
      <c r="CP851" s="21"/>
      <c r="CQ851" s="21"/>
      <c r="CR851" s="21"/>
      <c r="CS851" s="21"/>
      <c r="CT851" s="21"/>
      <c r="CU851" s="21"/>
      <c r="CV851" s="21"/>
      <c r="CW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21"/>
      <c r="BT852" s="21"/>
      <c r="BU852" s="21"/>
      <c r="BV852" s="21"/>
      <c r="BW852" s="21"/>
      <c r="BX852" s="21"/>
      <c r="BY852" s="21"/>
      <c r="BZ852" s="21"/>
      <c r="CA852" s="21"/>
      <c r="CB852" s="21"/>
      <c r="CC852" s="21"/>
      <c r="CD852" s="21"/>
      <c r="CE852" s="21"/>
      <c r="CF852" s="21"/>
      <c r="CG852" s="21"/>
      <c r="CH852" s="21"/>
      <c r="CI852" s="21"/>
      <c r="CJ852" s="21"/>
      <c r="CK852" s="21"/>
      <c r="CL852" s="21"/>
      <c r="CM852" s="21"/>
      <c r="CN852" s="21"/>
      <c r="CO852" s="21"/>
      <c r="CP852" s="21"/>
      <c r="CQ852" s="21"/>
      <c r="CR852" s="21"/>
      <c r="CS852" s="21"/>
      <c r="CT852" s="21"/>
      <c r="CU852" s="21"/>
      <c r="CV852" s="21"/>
      <c r="CW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21"/>
      <c r="BT853" s="21"/>
      <c r="BU853" s="21"/>
      <c r="BV853" s="21"/>
      <c r="BW853" s="21"/>
      <c r="BX853" s="21"/>
      <c r="BY853" s="21"/>
      <c r="BZ853" s="21"/>
      <c r="CA853" s="21"/>
      <c r="CB853" s="21"/>
      <c r="CC853" s="21"/>
      <c r="CD853" s="21"/>
      <c r="CE853" s="21"/>
      <c r="CF853" s="21"/>
      <c r="CG853" s="21"/>
      <c r="CH853" s="21"/>
      <c r="CI853" s="21"/>
      <c r="CJ853" s="21"/>
      <c r="CK853" s="21"/>
      <c r="CL853" s="21"/>
      <c r="CM853" s="21"/>
      <c r="CN853" s="21"/>
      <c r="CO853" s="21"/>
      <c r="CP853" s="21"/>
      <c r="CQ853" s="21"/>
      <c r="CR853" s="21"/>
      <c r="CS853" s="21"/>
      <c r="CT853" s="21"/>
      <c r="CU853" s="21"/>
      <c r="CV853" s="21"/>
      <c r="CW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21"/>
      <c r="BT854" s="21"/>
      <c r="BU854" s="21"/>
      <c r="BV854" s="21"/>
      <c r="BW854" s="21"/>
      <c r="BX854" s="21"/>
      <c r="BY854" s="21"/>
      <c r="BZ854" s="21"/>
      <c r="CA854" s="21"/>
      <c r="CB854" s="21"/>
      <c r="CC854" s="21"/>
      <c r="CD854" s="21"/>
      <c r="CE854" s="21"/>
      <c r="CF854" s="21"/>
      <c r="CG854" s="21"/>
      <c r="CH854" s="21"/>
      <c r="CI854" s="21"/>
      <c r="CJ854" s="21"/>
      <c r="CK854" s="21"/>
      <c r="CL854" s="21"/>
      <c r="CM854" s="21"/>
      <c r="CN854" s="21"/>
      <c r="CO854" s="21"/>
      <c r="CP854" s="21"/>
      <c r="CQ854" s="21"/>
      <c r="CR854" s="21"/>
      <c r="CS854" s="21"/>
      <c r="CT854" s="21"/>
      <c r="CU854" s="21"/>
      <c r="CV854" s="21"/>
      <c r="CW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21"/>
      <c r="BT855" s="21"/>
      <c r="BU855" s="21"/>
      <c r="BV855" s="21"/>
      <c r="BW855" s="21"/>
      <c r="BX855" s="21"/>
      <c r="BY855" s="21"/>
      <c r="BZ855" s="21"/>
      <c r="CA855" s="21"/>
      <c r="CB855" s="21"/>
      <c r="CC855" s="21"/>
      <c r="CD855" s="21"/>
      <c r="CE855" s="21"/>
      <c r="CF855" s="21"/>
      <c r="CG855" s="21"/>
      <c r="CH855" s="21"/>
      <c r="CI855" s="21"/>
      <c r="CJ855" s="21"/>
      <c r="CK855" s="21"/>
      <c r="CL855" s="21"/>
      <c r="CM855" s="21"/>
      <c r="CN855" s="21"/>
      <c r="CO855" s="21"/>
      <c r="CP855" s="21"/>
      <c r="CQ855" s="21"/>
      <c r="CR855" s="21"/>
      <c r="CS855" s="21"/>
      <c r="CT855" s="21"/>
      <c r="CU855" s="21"/>
      <c r="CV855" s="21"/>
      <c r="CW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21"/>
      <c r="BT856" s="21"/>
      <c r="BU856" s="21"/>
      <c r="BV856" s="21"/>
      <c r="BW856" s="21"/>
      <c r="BX856" s="21"/>
      <c r="BY856" s="21"/>
      <c r="BZ856" s="21"/>
      <c r="CA856" s="21"/>
      <c r="CB856" s="21"/>
      <c r="CC856" s="21"/>
      <c r="CD856" s="21"/>
      <c r="CE856" s="21"/>
      <c r="CF856" s="21"/>
      <c r="CG856" s="21"/>
      <c r="CH856" s="21"/>
      <c r="CI856" s="21"/>
      <c r="CJ856" s="21"/>
      <c r="CK856" s="21"/>
      <c r="CL856" s="21"/>
      <c r="CM856" s="21"/>
      <c r="CN856" s="21"/>
      <c r="CO856" s="21"/>
      <c r="CP856" s="21"/>
      <c r="CQ856" s="21"/>
      <c r="CR856" s="21"/>
      <c r="CS856" s="21"/>
      <c r="CT856" s="21"/>
      <c r="CU856" s="21"/>
      <c r="CV856" s="21"/>
      <c r="CW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21"/>
      <c r="BT857" s="21"/>
      <c r="BU857" s="21"/>
      <c r="BV857" s="21"/>
      <c r="BW857" s="21"/>
      <c r="BX857" s="21"/>
      <c r="BY857" s="21"/>
      <c r="BZ857" s="21"/>
      <c r="CA857" s="21"/>
      <c r="CB857" s="21"/>
      <c r="CC857" s="21"/>
      <c r="CD857" s="21"/>
      <c r="CE857" s="21"/>
      <c r="CF857" s="21"/>
      <c r="CG857" s="21"/>
      <c r="CH857" s="21"/>
      <c r="CI857" s="21"/>
      <c r="CJ857" s="21"/>
      <c r="CK857" s="21"/>
      <c r="CL857" s="21"/>
      <c r="CM857" s="21"/>
      <c r="CN857" s="21"/>
      <c r="CO857" s="21"/>
      <c r="CP857" s="21"/>
      <c r="CQ857" s="21"/>
      <c r="CR857" s="21"/>
      <c r="CS857" s="21"/>
      <c r="CT857" s="21"/>
      <c r="CU857" s="21"/>
      <c r="CV857" s="21"/>
      <c r="CW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21"/>
      <c r="BT858" s="21"/>
      <c r="BU858" s="21"/>
      <c r="BV858" s="21"/>
      <c r="BW858" s="21"/>
      <c r="BX858" s="21"/>
      <c r="BY858" s="21"/>
      <c r="BZ858" s="21"/>
      <c r="CA858" s="21"/>
      <c r="CB858" s="21"/>
      <c r="CC858" s="21"/>
      <c r="CD858" s="21"/>
      <c r="CE858" s="21"/>
      <c r="CF858" s="21"/>
      <c r="CG858" s="21"/>
      <c r="CH858" s="21"/>
      <c r="CI858" s="21"/>
      <c r="CJ858" s="21"/>
      <c r="CK858" s="21"/>
      <c r="CL858" s="21"/>
      <c r="CM858" s="21"/>
      <c r="CN858" s="21"/>
      <c r="CO858" s="21"/>
      <c r="CP858" s="21"/>
      <c r="CQ858" s="21"/>
      <c r="CR858" s="21"/>
      <c r="CS858" s="21"/>
      <c r="CT858" s="21"/>
      <c r="CU858" s="21"/>
      <c r="CV858" s="21"/>
      <c r="CW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21"/>
      <c r="BT859" s="21"/>
      <c r="BU859" s="21"/>
      <c r="BV859" s="21"/>
      <c r="BW859" s="21"/>
      <c r="BX859" s="21"/>
      <c r="BY859" s="21"/>
      <c r="BZ859" s="21"/>
      <c r="CA859" s="21"/>
      <c r="CB859" s="21"/>
      <c r="CC859" s="21"/>
      <c r="CD859" s="21"/>
      <c r="CE859" s="21"/>
      <c r="CF859" s="21"/>
      <c r="CG859" s="21"/>
      <c r="CH859" s="21"/>
      <c r="CI859" s="21"/>
      <c r="CJ859" s="21"/>
      <c r="CK859" s="21"/>
      <c r="CL859" s="21"/>
      <c r="CM859" s="21"/>
      <c r="CN859" s="21"/>
      <c r="CO859" s="21"/>
      <c r="CP859" s="21"/>
      <c r="CQ859" s="21"/>
      <c r="CR859" s="21"/>
      <c r="CS859" s="21"/>
      <c r="CT859" s="21"/>
      <c r="CU859" s="21"/>
      <c r="CV859" s="21"/>
      <c r="CW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21"/>
      <c r="BT860" s="21"/>
      <c r="BU860" s="21"/>
      <c r="BV860" s="21"/>
      <c r="BW860" s="21"/>
      <c r="BX860" s="21"/>
      <c r="BY860" s="21"/>
      <c r="BZ860" s="21"/>
      <c r="CA860" s="21"/>
      <c r="CB860" s="21"/>
      <c r="CC860" s="21"/>
      <c r="CD860" s="21"/>
      <c r="CE860" s="21"/>
      <c r="CF860" s="21"/>
      <c r="CG860" s="21"/>
      <c r="CH860" s="21"/>
      <c r="CI860" s="21"/>
      <c r="CJ860" s="21"/>
      <c r="CK860" s="21"/>
      <c r="CL860" s="21"/>
      <c r="CM860" s="21"/>
      <c r="CN860" s="21"/>
      <c r="CO860" s="21"/>
      <c r="CP860" s="21"/>
      <c r="CQ860" s="21"/>
      <c r="CR860" s="21"/>
      <c r="CS860" s="21"/>
      <c r="CT860" s="21"/>
      <c r="CU860" s="21"/>
      <c r="CV860" s="21"/>
      <c r="CW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21"/>
      <c r="BT861" s="21"/>
      <c r="BU861" s="21"/>
      <c r="BV861" s="21"/>
      <c r="BW861" s="21"/>
      <c r="BX861" s="21"/>
      <c r="BY861" s="21"/>
      <c r="BZ861" s="21"/>
      <c r="CA861" s="21"/>
      <c r="CB861" s="21"/>
      <c r="CC861" s="21"/>
      <c r="CD861" s="21"/>
      <c r="CE861" s="21"/>
      <c r="CF861" s="21"/>
      <c r="CG861" s="21"/>
      <c r="CH861" s="21"/>
      <c r="CI861" s="21"/>
      <c r="CJ861" s="21"/>
      <c r="CK861" s="21"/>
      <c r="CL861" s="21"/>
      <c r="CM861" s="21"/>
      <c r="CN861" s="21"/>
      <c r="CO861" s="21"/>
      <c r="CP861" s="21"/>
      <c r="CQ861" s="21"/>
      <c r="CR861" s="21"/>
      <c r="CS861" s="21"/>
      <c r="CT861" s="21"/>
      <c r="CU861" s="21"/>
      <c r="CV861" s="21"/>
      <c r="CW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21"/>
      <c r="BT862" s="21"/>
      <c r="BU862" s="21"/>
      <c r="BV862" s="21"/>
      <c r="BW862" s="21"/>
      <c r="BX862" s="21"/>
      <c r="BY862" s="21"/>
      <c r="BZ862" s="21"/>
      <c r="CA862" s="21"/>
      <c r="CB862" s="21"/>
      <c r="CC862" s="21"/>
      <c r="CD862" s="21"/>
      <c r="CE862" s="21"/>
      <c r="CF862" s="21"/>
      <c r="CG862" s="21"/>
      <c r="CH862" s="21"/>
      <c r="CI862" s="21"/>
      <c r="CJ862" s="21"/>
      <c r="CK862" s="21"/>
      <c r="CL862" s="21"/>
      <c r="CM862" s="21"/>
      <c r="CN862" s="21"/>
      <c r="CO862" s="21"/>
      <c r="CP862" s="21"/>
      <c r="CQ862" s="21"/>
      <c r="CR862" s="21"/>
      <c r="CS862" s="21"/>
      <c r="CT862" s="21"/>
      <c r="CU862" s="21"/>
      <c r="CV862" s="21"/>
      <c r="CW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21"/>
      <c r="BT863" s="21"/>
      <c r="BU863" s="21"/>
      <c r="BV863" s="21"/>
      <c r="BW863" s="21"/>
      <c r="BX863" s="21"/>
      <c r="BY863" s="21"/>
      <c r="BZ863" s="21"/>
      <c r="CA863" s="21"/>
      <c r="CB863" s="21"/>
      <c r="CC863" s="21"/>
      <c r="CD863" s="21"/>
      <c r="CE863" s="21"/>
      <c r="CF863" s="21"/>
      <c r="CG863" s="21"/>
      <c r="CH863" s="21"/>
      <c r="CI863" s="21"/>
      <c r="CJ863" s="21"/>
      <c r="CK863" s="21"/>
      <c r="CL863" s="21"/>
      <c r="CM863" s="21"/>
      <c r="CN863" s="21"/>
      <c r="CO863" s="21"/>
      <c r="CP863" s="21"/>
      <c r="CQ863" s="21"/>
      <c r="CR863" s="21"/>
      <c r="CS863" s="21"/>
      <c r="CT863" s="21"/>
      <c r="CU863" s="21"/>
      <c r="CV863" s="21"/>
      <c r="CW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21"/>
      <c r="BT864" s="21"/>
      <c r="BU864" s="21"/>
      <c r="BV864" s="21"/>
      <c r="BW864" s="21"/>
      <c r="BX864" s="21"/>
      <c r="BY864" s="21"/>
      <c r="BZ864" s="21"/>
      <c r="CA864" s="21"/>
      <c r="CB864" s="21"/>
      <c r="CC864" s="21"/>
      <c r="CD864" s="21"/>
      <c r="CE864" s="21"/>
      <c r="CF864" s="21"/>
      <c r="CG864" s="21"/>
      <c r="CH864" s="21"/>
      <c r="CI864" s="21"/>
      <c r="CJ864" s="21"/>
      <c r="CK864" s="21"/>
      <c r="CL864" s="21"/>
      <c r="CM864" s="21"/>
      <c r="CN864" s="21"/>
      <c r="CO864" s="21"/>
      <c r="CP864" s="21"/>
      <c r="CQ864" s="21"/>
      <c r="CR864" s="21"/>
      <c r="CS864" s="21"/>
      <c r="CT864" s="21"/>
      <c r="CU864" s="21"/>
      <c r="CV864" s="21"/>
      <c r="CW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21"/>
      <c r="BT865" s="21"/>
      <c r="BU865" s="21"/>
      <c r="BV865" s="21"/>
      <c r="BW865" s="21"/>
      <c r="BX865" s="21"/>
      <c r="BY865" s="21"/>
      <c r="BZ865" s="21"/>
      <c r="CA865" s="21"/>
      <c r="CB865" s="21"/>
      <c r="CC865" s="21"/>
      <c r="CD865" s="21"/>
      <c r="CE865" s="21"/>
      <c r="CF865" s="21"/>
      <c r="CG865" s="21"/>
      <c r="CH865" s="21"/>
      <c r="CI865" s="21"/>
      <c r="CJ865" s="21"/>
      <c r="CK865" s="21"/>
      <c r="CL865" s="21"/>
      <c r="CM865" s="21"/>
      <c r="CN865" s="21"/>
      <c r="CO865" s="21"/>
      <c r="CP865" s="21"/>
      <c r="CQ865" s="21"/>
      <c r="CR865" s="21"/>
      <c r="CS865" s="21"/>
      <c r="CT865" s="21"/>
      <c r="CU865" s="21"/>
      <c r="CV865" s="21"/>
      <c r="CW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21"/>
      <c r="BT866" s="21"/>
      <c r="BU866" s="21"/>
      <c r="BV866" s="21"/>
      <c r="BW866" s="21"/>
      <c r="BX866" s="21"/>
      <c r="BY866" s="21"/>
      <c r="BZ866" s="21"/>
      <c r="CA866" s="21"/>
      <c r="CB866" s="21"/>
      <c r="CC866" s="21"/>
      <c r="CD866" s="21"/>
      <c r="CE866" s="21"/>
      <c r="CF866" s="21"/>
      <c r="CG866" s="21"/>
      <c r="CH866" s="21"/>
      <c r="CI866" s="21"/>
      <c r="CJ866" s="21"/>
      <c r="CK866" s="21"/>
      <c r="CL866" s="21"/>
      <c r="CM866" s="21"/>
      <c r="CN866" s="21"/>
      <c r="CO866" s="21"/>
      <c r="CP866" s="21"/>
      <c r="CQ866" s="21"/>
      <c r="CR866" s="21"/>
      <c r="CS866" s="21"/>
      <c r="CT866" s="21"/>
      <c r="CU866" s="21"/>
      <c r="CV866" s="21"/>
      <c r="CW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21"/>
      <c r="BT867" s="21"/>
      <c r="BU867" s="21"/>
      <c r="BV867" s="21"/>
      <c r="BW867" s="21"/>
      <c r="BX867" s="21"/>
      <c r="BY867" s="21"/>
      <c r="BZ867" s="21"/>
      <c r="CA867" s="21"/>
      <c r="CB867" s="21"/>
      <c r="CC867" s="21"/>
      <c r="CD867" s="21"/>
      <c r="CE867" s="21"/>
      <c r="CF867" s="21"/>
      <c r="CG867" s="21"/>
      <c r="CH867" s="21"/>
      <c r="CI867" s="21"/>
      <c r="CJ867" s="21"/>
      <c r="CK867" s="21"/>
      <c r="CL867" s="21"/>
      <c r="CM867" s="21"/>
      <c r="CN867" s="21"/>
      <c r="CO867" s="21"/>
      <c r="CP867" s="21"/>
      <c r="CQ867" s="21"/>
      <c r="CR867" s="21"/>
      <c r="CS867" s="21"/>
      <c r="CT867" s="21"/>
      <c r="CU867" s="21"/>
      <c r="CV867" s="21"/>
      <c r="CW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21"/>
      <c r="BT868" s="21"/>
      <c r="BU868" s="21"/>
      <c r="BV868" s="21"/>
      <c r="BW868" s="21"/>
      <c r="BX868" s="21"/>
      <c r="BY868" s="21"/>
      <c r="BZ868" s="21"/>
      <c r="CA868" s="21"/>
      <c r="CB868" s="21"/>
      <c r="CC868" s="21"/>
      <c r="CD868" s="21"/>
      <c r="CE868" s="21"/>
      <c r="CF868" s="21"/>
      <c r="CG868" s="21"/>
      <c r="CH868" s="21"/>
      <c r="CI868" s="21"/>
      <c r="CJ868" s="21"/>
      <c r="CK868" s="21"/>
      <c r="CL868" s="21"/>
      <c r="CM868" s="21"/>
      <c r="CN868" s="21"/>
      <c r="CO868" s="21"/>
      <c r="CP868" s="21"/>
      <c r="CQ868" s="21"/>
      <c r="CR868" s="21"/>
      <c r="CS868" s="21"/>
      <c r="CT868" s="21"/>
      <c r="CU868" s="21"/>
      <c r="CV868" s="21"/>
      <c r="CW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21"/>
      <c r="BT869" s="21"/>
      <c r="BU869" s="21"/>
      <c r="BV869" s="21"/>
      <c r="BW869" s="21"/>
      <c r="BX869" s="21"/>
      <c r="BY869" s="21"/>
      <c r="BZ869" s="21"/>
      <c r="CA869" s="21"/>
      <c r="CB869" s="21"/>
      <c r="CC869" s="21"/>
      <c r="CD869" s="21"/>
      <c r="CE869" s="21"/>
      <c r="CF869" s="21"/>
      <c r="CG869" s="21"/>
      <c r="CH869" s="21"/>
      <c r="CI869" s="21"/>
      <c r="CJ869" s="21"/>
      <c r="CK869" s="21"/>
      <c r="CL869" s="21"/>
      <c r="CM869" s="21"/>
      <c r="CN869" s="21"/>
      <c r="CO869" s="21"/>
      <c r="CP869" s="21"/>
      <c r="CQ869" s="21"/>
      <c r="CR869" s="21"/>
      <c r="CS869" s="21"/>
      <c r="CT869" s="21"/>
      <c r="CU869" s="21"/>
      <c r="CV869" s="21"/>
      <c r="CW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21"/>
      <c r="BT870" s="21"/>
      <c r="BU870" s="21"/>
      <c r="BV870" s="21"/>
      <c r="BW870" s="21"/>
      <c r="BX870" s="21"/>
      <c r="BY870" s="21"/>
      <c r="BZ870" s="21"/>
      <c r="CA870" s="21"/>
      <c r="CB870" s="21"/>
      <c r="CC870" s="21"/>
      <c r="CD870" s="21"/>
      <c r="CE870" s="21"/>
      <c r="CF870" s="21"/>
      <c r="CG870" s="21"/>
      <c r="CH870" s="21"/>
      <c r="CI870" s="21"/>
      <c r="CJ870" s="21"/>
      <c r="CK870" s="21"/>
      <c r="CL870" s="21"/>
      <c r="CM870" s="21"/>
      <c r="CN870" s="21"/>
      <c r="CO870" s="21"/>
      <c r="CP870" s="21"/>
      <c r="CQ870" s="21"/>
      <c r="CR870" s="21"/>
      <c r="CS870" s="21"/>
      <c r="CT870" s="21"/>
      <c r="CU870" s="21"/>
      <c r="CV870" s="21"/>
      <c r="CW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21"/>
      <c r="BT871" s="21"/>
      <c r="BU871" s="21"/>
      <c r="BV871" s="21"/>
      <c r="BW871" s="21"/>
      <c r="BX871" s="21"/>
      <c r="BY871" s="21"/>
      <c r="BZ871" s="21"/>
      <c r="CA871" s="21"/>
      <c r="CB871" s="21"/>
      <c r="CC871" s="21"/>
      <c r="CD871" s="21"/>
      <c r="CE871" s="21"/>
      <c r="CF871" s="21"/>
      <c r="CG871" s="21"/>
      <c r="CH871" s="21"/>
      <c r="CI871" s="21"/>
      <c r="CJ871" s="21"/>
      <c r="CK871" s="21"/>
      <c r="CL871" s="21"/>
      <c r="CM871" s="21"/>
      <c r="CN871" s="21"/>
      <c r="CO871" s="21"/>
      <c r="CP871" s="21"/>
      <c r="CQ871" s="21"/>
      <c r="CR871" s="21"/>
      <c r="CS871" s="21"/>
      <c r="CT871" s="21"/>
      <c r="CU871" s="21"/>
      <c r="CV871" s="21"/>
      <c r="CW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21"/>
      <c r="BT872" s="21"/>
      <c r="BU872" s="21"/>
      <c r="BV872" s="21"/>
      <c r="BW872" s="21"/>
      <c r="BX872" s="21"/>
      <c r="BY872" s="21"/>
      <c r="BZ872" s="21"/>
      <c r="CA872" s="21"/>
      <c r="CB872" s="21"/>
      <c r="CC872" s="21"/>
      <c r="CD872" s="21"/>
      <c r="CE872" s="21"/>
      <c r="CF872" s="21"/>
      <c r="CG872" s="21"/>
      <c r="CH872" s="21"/>
      <c r="CI872" s="21"/>
      <c r="CJ872" s="21"/>
      <c r="CK872" s="21"/>
      <c r="CL872" s="21"/>
      <c r="CM872" s="21"/>
      <c r="CN872" s="21"/>
      <c r="CO872" s="21"/>
      <c r="CP872" s="21"/>
      <c r="CQ872" s="21"/>
      <c r="CR872" s="21"/>
      <c r="CS872" s="21"/>
      <c r="CT872" s="21"/>
      <c r="CU872" s="21"/>
      <c r="CV872" s="21"/>
      <c r="CW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21"/>
      <c r="BT873" s="21"/>
      <c r="BU873" s="21"/>
      <c r="BV873" s="21"/>
      <c r="BW873" s="21"/>
      <c r="BX873" s="21"/>
      <c r="BY873" s="21"/>
      <c r="BZ873" s="21"/>
      <c r="CA873" s="21"/>
      <c r="CB873" s="21"/>
      <c r="CC873" s="21"/>
      <c r="CD873" s="21"/>
      <c r="CE873" s="21"/>
      <c r="CF873" s="21"/>
      <c r="CG873" s="21"/>
      <c r="CH873" s="21"/>
      <c r="CI873" s="21"/>
      <c r="CJ873" s="21"/>
      <c r="CK873" s="21"/>
      <c r="CL873" s="21"/>
      <c r="CM873" s="21"/>
      <c r="CN873" s="21"/>
      <c r="CO873" s="21"/>
      <c r="CP873" s="21"/>
      <c r="CQ873" s="21"/>
      <c r="CR873" s="21"/>
      <c r="CS873" s="21"/>
      <c r="CT873" s="21"/>
      <c r="CU873" s="21"/>
      <c r="CV873" s="21"/>
      <c r="CW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21"/>
      <c r="BT874" s="21"/>
      <c r="BU874" s="21"/>
      <c r="BV874" s="21"/>
      <c r="BW874" s="21"/>
      <c r="BX874" s="21"/>
      <c r="BY874" s="21"/>
      <c r="BZ874" s="21"/>
      <c r="CA874" s="21"/>
      <c r="CB874" s="21"/>
      <c r="CC874" s="21"/>
      <c r="CD874" s="21"/>
      <c r="CE874" s="21"/>
      <c r="CF874" s="21"/>
      <c r="CG874" s="21"/>
      <c r="CH874" s="21"/>
      <c r="CI874" s="21"/>
      <c r="CJ874" s="21"/>
      <c r="CK874" s="21"/>
      <c r="CL874" s="21"/>
      <c r="CM874" s="21"/>
      <c r="CN874" s="21"/>
      <c r="CO874" s="21"/>
      <c r="CP874" s="21"/>
      <c r="CQ874" s="21"/>
      <c r="CR874" s="21"/>
      <c r="CS874" s="21"/>
      <c r="CT874" s="21"/>
      <c r="CU874" s="21"/>
      <c r="CV874" s="21"/>
      <c r="CW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21"/>
      <c r="BT875" s="21"/>
      <c r="BU875" s="21"/>
      <c r="BV875" s="21"/>
      <c r="BW875" s="21"/>
      <c r="BX875" s="21"/>
      <c r="BY875" s="21"/>
      <c r="BZ875" s="21"/>
      <c r="CA875" s="21"/>
      <c r="CB875" s="21"/>
      <c r="CC875" s="21"/>
      <c r="CD875" s="21"/>
      <c r="CE875" s="21"/>
      <c r="CF875" s="21"/>
      <c r="CG875" s="21"/>
      <c r="CH875" s="21"/>
      <c r="CI875" s="21"/>
      <c r="CJ875" s="21"/>
      <c r="CK875" s="21"/>
      <c r="CL875" s="21"/>
      <c r="CM875" s="21"/>
      <c r="CN875" s="21"/>
      <c r="CO875" s="21"/>
      <c r="CP875" s="21"/>
      <c r="CQ875" s="21"/>
      <c r="CR875" s="21"/>
      <c r="CS875" s="21"/>
      <c r="CT875" s="21"/>
      <c r="CU875" s="21"/>
      <c r="CV875" s="21"/>
      <c r="CW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21"/>
      <c r="BT876" s="21"/>
      <c r="BU876" s="21"/>
      <c r="BV876" s="21"/>
      <c r="BW876" s="21"/>
      <c r="BX876" s="21"/>
      <c r="BY876" s="21"/>
      <c r="BZ876" s="21"/>
      <c r="CA876" s="21"/>
      <c r="CB876" s="21"/>
      <c r="CC876" s="21"/>
      <c r="CD876" s="21"/>
      <c r="CE876" s="21"/>
      <c r="CF876" s="21"/>
      <c r="CG876" s="21"/>
      <c r="CH876" s="21"/>
      <c r="CI876" s="21"/>
      <c r="CJ876" s="21"/>
      <c r="CK876" s="21"/>
      <c r="CL876" s="21"/>
      <c r="CM876" s="21"/>
      <c r="CN876" s="21"/>
      <c r="CO876" s="21"/>
      <c r="CP876" s="21"/>
      <c r="CQ876" s="21"/>
      <c r="CR876" s="21"/>
      <c r="CS876" s="21"/>
      <c r="CT876" s="21"/>
      <c r="CU876" s="21"/>
      <c r="CV876" s="21"/>
      <c r="CW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21"/>
      <c r="BT877" s="21"/>
      <c r="BU877" s="21"/>
      <c r="BV877" s="21"/>
      <c r="BW877" s="21"/>
      <c r="BX877" s="21"/>
      <c r="BY877" s="21"/>
      <c r="BZ877" s="21"/>
      <c r="CA877" s="21"/>
      <c r="CB877" s="21"/>
      <c r="CC877" s="21"/>
      <c r="CD877" s="21"/>
      <c r="CE877" s="21"/>
      <c r="CF877" s="21"/>
      <c r="CG877" s="21"/>
      <c r="CH877" s="21"/>
      <c r="CI877" s="21"/>
      <c r="CJ877" s="21"/>
      <c r="CK877" s="21"/>
      <c r="CL877" s="21"/>
      <c r="CM877" s="21"/>
      <c r="CN877" s="21"/>
      <c r="CO877" s="21"/>
      <c r="CP877" s="21"/>
      <c r="CQ877" s="21"/>
      <c r="CR877" s="21"/>
      <c r="CS877" s="21"/>
      <c r="CT877" s="21"/>
      <c r="CU877" s="21"/>
      <c r="CV877" s="21"/>
      <c r="CW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21"/>
      <c r="BT878" s="21"/>
      <c r="BU878" s="21"/>
      <c r="BV878" s="21"/>
      <c r="BW878" s="21"/>
      <c r="BX878" s="21"/>
      <c r="BY878" s="21"/>
      <c r="BZ878" s="21"/>
      <c r="CA878" s="21"/>
      <c r="CB878" s="21"/>
      <c r="CC878" s="21"/>
      <c r="CD878" s="21"/>
      <c r="CE878" s="21"/>
      <c r="CF878" s="21"/>
      <c r="CG878" s="21"/>
      <c r="CH878" s="21"/>
      <c r="CI878" s="21"/>
      <c r="CJ878" s="21"/>
      <c r="CK878" s="21"/>
      <c r="CL878" s="21"/>
      <c r="CM878" s="21"/>
      <c r="CN878" s="21"/>
      <c r="CO878" s="21"/>
      <c r="CP878" s="21"/>
      <c r="CQ878" s="21"/>
      <c r="CR878" s="21"/>
      <c r="CS878" s="21"/>
      <c r="CT878" s="21"/>
      <c r="CU878" s="21"/>
      <c r="CV878" s="21"/>
      <c r="CW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21"/>
      <c r="BT879" s="21"/>
      <c r="BU879" s="21"/>
      <c r="BV879" s="21"/>
      <c r="BW879" s="21"/>
      <c r="BX879" s="21"/>
      <c r="BY879" s="21"/>
      <c r="BZ879" s="21"/>
      <c r="CA879" s="21"/>
      <c r="CB879" s="21"/>
      <c r="CC879" s="21"/>
      <c r="CD879" s="21"/>
      <c r="CE879" s="21"/>
      <c r="CF879" s="21"/>
      <c r="CG879" s="21"/>
      <c r="CH879" s="21"/>
      <c r="CI879" s="21"/>
      <c r="CJ879" s="21"/>
      <c r="CK879" s="21"/>
      <c r="CL879" s="21"/>
      <c r="CM879" s="21"/>
      <c r="CN879" s="21"/>
      <c r="CO879" s="21"/>
      <c r="CP879" s="21"/>
      <c r="CQ879" s="21"/>
      <c r="CR879" s="21"/>
      <c r="CS879" s="21"/>
      <c r="CT879" s="21"/>
      <c r="CU879" s="21"/>
      <c r="CV879" s="21"/>
      <c r="CW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21"/>
      <c r="BT880" s="21"/>
      <c r="BU880" s="21"/>
      <c r="BV880" s="21"/>
      <c r="BW880" s="21"/>
      <c r="BX880" s="21"/>
      <c r="BY880" s="21"/>
      <c r="BZ880" s="21"/>
      <c r="CA880" s="21"/>
      <c r="CB880" s="21"/>
      <c r="CC880" s="21"/>
      <c r="CD880" s="21"/>
      <c r="CE880" s="21"/>
      <c r="CF880" s="21"/>
      <c r="CG880" s="21"/>
      <c r="CH880" s="21"/>
      <c r="CI880" s="21"/>
      <c r="CJ880" s="21"/>
      <c r="CK880" s="21"/>
      <c r="CL880" s="21"/>
      <c r="CM880" s="21"/>
      <c r="CN880" s="21"/>
      <c r="CO880" s="21"/>
      <c r="CP880" s="21"/>
      <c r="CQ880" s="21"/>
      <c r="CR880" s="21"/>
      <c r="CS880" s="21"/>
      <c r="CT880" s="21"/>
      <c r="CU880" s="21"/>
      <c r="CV880" s="21"/>
      <c r="CW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21"/>
      <c r="BT881" s="21"/>
      <c r="BU881" s="21"/>
      <c r="BV881" s="21"/>
      <c r="BW881" s="21"/>
      <c r="BX881" s="21"/>
      <c r="BY881" s="21"/>
      <c r="BZ881" s="21"/>
      <c r="CA881" s="21"/>
      <c r="CB881" s="21"/>
      <c r="CC881" s="21"/>
      <c r="CD881" s="21"/>
      <c r="CE881" s="21"/>
      <c r="CF881" s="21"/>
      <c r="CG881" s="21"/>
      <c r="CH881" s="21"/>
      <c r="CI881" s="21"/>
      <c r="CJ881" s="21"/>
      <c r="CK881" s="21"/>
      <c r="CL881" s="21"/>
      <c r="CM881" s="21"/>
      <c r="CN881" s="21"/>
      <c r="CO881" s="21"/>
      <c r="CP881" s="21"/>
      <c r="CQ881" s="21"/>
      <c r="CR881" s="21"/>
      <c r="CS881" s="21"/>
      <c r="CT881" s="21"/>
      <c r="CU881" s="21"/>
      <c r="CV881" s="21"/>
      <c r="CW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21"/>
      <c r="BT882" s="21"/>
      <c r="BU882" s="21"/>
      <c r="BV882" s="21"/>
      <c r="BW882" s="21"/>
      <c r="BX882" s="21"/>
      <c r="BY882" s="21"/>
      <c r="BZ882" s="21"/>
      <c r="CA882" s="21"/>
      <c r="CB882" s="21"/>
      <c r="CC882" s="21"/>
      <c r="CD882" s="21"/>
      <c r="CE882" s="21"/>
      <c r="CF882" s="21"/>
      <c r="CG882" s="21"/>
      <c r="CH882" s="21"/>
      <c r="CI882" s="21"/>
      <c r="CJ882" s="21"/>
      <c r="CK882" s="21"/>
      <c r="CL882" s="21"/>
      <c r="CM882" s="21"/>
      <c r="CN882" s="21"/>
      <c r="CO882" s="21"/>
      <c r="CP882" s="21"/>
      <c r="CQ882" s="21"/>
      <c r="CR882" s="21"/>
      <c r="CS882" s="21"/>
      <c r="CT882" s="21"/>
      <c r="CU882" s="21"/>
      <c r="CV882" s="21"/>
      <c r="CW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21"/>
      <c r="BT883" s="21"/>
      <c r="BU883" s="21"/>
      <c r="BV883" s="21"/>
      <c r="BW883" s="21"/>
      <c r="BX883" s="21"/>
      <c r="BY883" s="21"/>
      <c r="BZ883" s="21"/>
      <c r="CA883" s="21"/>
      <c r="CB883" s="21"/>
      <c r="CC883" s="21"/>
      <c r="CD883" s="21"/>
      <c r="CE883" s="21"/>
      <c r="CF883" s="21"/>
      <c r="CG883" s="21"/>
      <c r="CH883" s="21"/>
      <c r="CI883" s="21"/>
      <c r="CJ883" s="21"/>
      <c r="CK883" s="21"/>
      <c r="CL883" s="21"/>
      <c r="CM883" s="21"/>
      <c r="CN883" s="21"/>
      <c r="CO883" s="21"/>
      <c r="CP883" s="21"/>
      <c r="CQ883" s="21"/>
      <c r="CR883" s="21"/>
      <c r="CS883" s="21"/>
      <c r="CT883" s="21"/>
      <c r="CU883" s="21"/>
      <c r="CV883" s="21"/>
      <c r="CW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21"/>
      <c r="BT884" s="21"/>
      <c r="BU884" s="21"/>
      <c r="BV884" s="21"/>
      <c r="BW884" s="21"/>
      <c r="BX884" s="21"/>
      <c r="BY884" s="21"/>
      <c r="BZ884" s="21"/>
      <c r="CA884" s="21"/>
      <c r="CB884" s="21"/>
      <c r="CC884" s="21"/>
      <c r="CD884" s="21"/>
      <c r="CE884" s="21"/>
      <c r="CF884" s="21"/>
      <c r="CG884" s="21"/>
      <c r="CH884" s="21"/>
      <c r="CI884" s="21"/>
      <c r="CJ884" s="21"/>
      <c r="CK884" s="21"/>
      <c r="CL884" s="21"/>
      <c r="CM884" s="21"/>
      <c r="CN884" s="21"/>
      <c r="CO884" s="21"/>
      <c r="CP884" s="21"/>
      <c r="CQ884" s="21"/>
      <c r="CR884" s="21"/>
      <c r="CS884" s="21"/>
      <c r="CT884" s="21"/>
      <c r="CU884" s="21"/>
      <c r="CV884" s="21"/>
      <c r="CW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21"/>
      <c r="BT885" s="21"/>
      <c r="BU885" s="21"/>
      <c r="BV885" s="21"/>
      <c r="BW885" s="21"/>
      <c r="BX885" s="21"/>
      <c r="BY885" s="21"/>
      <c r="BZ885" s="21"/>
      <c r="CA885" s="21"/>
      <c r="CB885" s="21"/>
      <c r="CC885" s="21"/>
      <c r="CD885" s="21"/>
      <c r="CE885" s="21"/>
      <c r="CF885" s="21"/>
      <c r="CG885" s="21"/>
      <c r="CH885" s="21"/>
      <c r="CI885" s="21"/>
      <c r="CJ885" s="21"/>
      <c r="CK885" s="21"/>
      <c r="CL885" s="21"/>
      <c r="CM885" s="21"/>
      <c r="CN885" s="21"/>
      <c r="CO885" s="21"/>
      <c r="CP885" s="21"/>
      <c r="CQ885" s="21"/>
      <c r="CR885" s="21"/>
      <c r="CS885" s="21"/>
      <c r="CT885" s="21"/>
      <c r="CU885" s="21"/>
      <c r="CV885" s="21"/>
      <c r="CW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21"/>
      <c r="BT886" s="21"/>
      <c r="BU886" s="21"/>
      <c r="BV886" s="21"/>
      <c r="BW886" s="21"/>
      <c r="BX886" s="21"/>
      <c r="BY886" s="21"/>
      <c r="BZ886" s="21"/>
      <c r="CA886" s="21"/>
      <c r="CB886" s="21"/>
      <c r="CC886" s="21"/>
      <c r="CD886" s="21"/>
      <c r="CE886" s="21"/>
      <c r="CF886" s="21"/>
      <c r="CG886" s="21"/>
      <c r="CH886" s="21"/>
      <c r="CI886" s="21"/>
      <c r="CJ886" s="21"/>
      <c r="CK886" s="21"/>
      <c r="CL886" s="21"/>
      <c r="CM886" s="21"/>
      <c r="CN886" s="21"/>
      <c r="CO886" s="21"/>
      <c r="CP886" s="21"/>
      <c r="CQ886" s="21"/>
      <c r="CR886" s="21"/>
      <c r="CS886" s="21"/>
      <c r="CT886" s="21"/>
      <c r="CU886" s="21"/>
      <c r="CV886" s="21"/>
      <c r="CW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21"/>
      <c r="BT887" s="21"/>
      <c r="BU887" s="21"/>
      <c r="BV887" s="21"/>
      <c r="BW887" s="21"/>
      <c r="BX887" s="21"/>
      <c r="BY887" s="21"/>
      <c r="BZ887" s="21"/>
      <c r="CA887" s="21"/>
      <c r="CB887" s="21"/>
      <c r="CC887" s="21"/>
      <c r="CD887" s="21"/>
      <c r="CE887" s="21"/>
      <c r="CF887" s="21"/>
      <c r="CG887" s="21"/>
      <c r="CH887" s="21"/>
      <c r="CI887" s="21"/>
      <c r="CJ887" s="21"/>
      <c r="CK887" s="21"/>
      <c r="CL887" s="21"/>
      <c r="CM887" s="21"/>
      <c r="CN887" s="21"/>
      <c r="CO887" s="21"/>
      <c r="CP887" s="21"/>
      <c r="CQ887" s="21"/>
      <c r="CR887" s="21"/>
      <c r="CS887" s="21"/>
      <c r="CT887" s="21"/>
      <c r="CU887" s="21"/>
      <c r="CV887" s="21"/>
      <c r="CW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21"/>
      <c r="BT888" s="21"/>
      <c r="BU888" s="21"/>
      <c r="BV888" s="21"/>
      <c r="BW888" s="21"/>
      <c r="BX888" s="21"/>
      <c r="BY888" s="21"/>
      <c r="BZ888" s="21"/>
      <c r="CA888" s="21"/>
      <c r="CB888" s="21"/>
      <c r="CC888" s="21"/>
      <c r="CD888" s="21"/>
      <c r="CE888" s="21"/>
      <c r="CF888" s="21"/>
      <c r="CG888" s="21"/>
      <c r="CH888" s="21"/>
      <c r="CI888" s="21"/>
      <c r="CJ888" s="21"/>
      <c r="CK888" s="21"/>
      <c r="CL888" s="21"/>
      <c r="CM888" s="21"/>
      <c r="CN888" s="21"/>
      <c r="CO888" s="21"/>
      <c r="CP888" s="21"/>
      <c r="CQ888" s="21"/>
      <c r="CR888" s="21"/>
      <c r="CS888" s="21"/>
      <c r="CT888" s="21"/>
      <c r="CU888" s="21"/>
      <c r="CV888" s="21"/>
      <c r="CW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21"/>
      <c r="BT889" s="21"/>
      <c r="BU889" s="21"/>
      <c r="BV889" s="21"/>
      <c r="BW889" s="21"/>
      <c r="BX889" s="21"/>
      <c r="BY889" s="21"/>
      <c r="BZ889" s="21"/>
      <c r="CA889" s="21"/>
      <c r="CB889" s="21"/>
      <c r="CC889" s="21"/>
      <c r="CD889" s="21"/>
      <c r="CE889" s="21"/>
      <c r="CF889" s="21"/>
      <c r="CG889" s="21"/>
      <c r="CH889" s="21"/>
      <c r="CI889" s="21"/>
      <c r="CJ889" s="21"/>
      <c r="CK889" s="21"/>
      <c r="CL889" s="21"/>
      <c r="CM889" s="21"/>
      <c r="CN889" s="21"/>
      <c r="CO889" s="21"/>
      <c r="CP889" s="21"/>
      <c r="CQ889" s="21"/>
      <c r="CR889" s="21"/>
      <c r="CS889" s="21"/>
      <c r="CT889" s="21"/>
      <c r="CU889" s="21"/>
      <c r="CV889" s="21"/>
      <c r="CW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21"/>
      <c r="BT890" s="21"/>
      <c r="BU890" s="21"/>
      <c r="BV890" s="21"/>
      <c r="BW890" s="21"/>
      <c r="BX890" s="21"/>
      <c r="BY890" s="21"/>
      <c r="BZ890" s="21"/>
      <c r="CA890" s="21"/>
      <c r="CB890" s="21"/>
      <c r="CC890" s="21"/>
      <c r="CD890" s="21"/>
      <c r="CE890" s="21"/>
      <c r="CF890" s="21"/>
      <c r="CG890" s="21"/>
      <c r="CH890" s="21"/>
      <c r="CI890" s="21"/>
      <c r="CJ890" s="21"/>
      <c r="CK890" s="21"/>
      <c r="CL890" s="21"/>
      <c r="CM890" s="21"/>
      <c r="CN890" s="21"/>
      <c r="CO890" s="21"/>
      <c r="CP890" s="21"/>
      <c r="CQ890" s="21"/>
      <c r="CR890" s="21"/>
      <c r="CS890" s="21"/>
      <c r="CT890" s="21"/>
      <c r="CU890" s="21"/>
      <c r="CV890" s="21"/>
      <c r="CW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21"/>
      <c r="BT891" s="21"/>
      <c r="BU891" s="21"/>
      <c r="BV891" s="21"/>
      <c r="BW891" s="21"/>
      <c r="BX891" s="21"/>
      <c r="BY891" s="21"/>
      <c r="BZ891" s="21"/>
      <c r="CA891" s="21"/>
      <c r="CB891" s="21"/>
      <c r="CC891" s="21"/>
      <c r="CD891" s="21"/>
      <c r="CE891" s="21"/>
      <c r="CF891" s="21"/>
      <c r="CG891" s="21"/>
      <c r="CH891" s="21"/>
      <c r="CI891" s="21"/>
      <c r="CJ891" s="21"/>
      <c r="CK891" s="21"/>
      <c r="CL891" s="21"/>
      <c r="CM891" s="21"/>
      <c r="CN891" s="21"/>
      <c r="CO891" s="21"/>
      <c r="CP891" s="21"/>
      <c r="CQ891" s="21"/>
      <c r="CR891" s="21"/>
      <c r="CS891" s="21"/>
      <c r="CT891" s="21"/>
      <c r="CU891" s="21"/>
      <c r="CV891" s="21"/>
      <c r="CW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21"/>
      <c r="BT892" s="21"/>
      <c r="BU892" s="21"/>
      <c r="BV892" s="21"/>
      <c r="BW892" s="21"/>
      <c r="BX892" s="21"/>
      <c r="BY892" s="21"/>
      <c r="BZ892" s="21"/>
      <c r="CA892" s="21"/>
      <c r="CB892" s="21"/>
      <c r="CC892" s="21"/>
      <c r="CD892" s="21"/>
      <c r="CE892" s="21"/>
      <c r="CF892" s="21"/>
      <c r="CG892" s="21"/>
      <c r="CH892" s="21"/>
      <c r="CI892" s="21"/>
      <c r="CJ892" s="21"/>
      <c r="CK892" s="21"/>
      <c r="CL892" s="21"/>
      <c r="CM892" s="21"/>
      <c r="CN892" s="21"/>
      <c r="CO892" s="21"/>
      <c r="CP892" s="21"/>
      <c r="CQ892" s="21"/>
      <c r="CR892" s="21"/>
      <c r="CS892" s="21"/>
      <c r="CT892" s="21"/>
      <c r="CU892" s="21"/>
      <c r="CV892" s="21"/>
      <c r="CW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21"/>
      <c r="BT893" s="21"/>
      <c r="BU893" s="21"/>
      <c r="BV893" s="21"/>
      <c r="BW893" s="21"/>
      <c r="BX893" s="21"/>
      <c r="BY893" s="21"/>
      <c r="BZ893" s="21"/>
      <c r="CA893" s="21"/>
      <c r="CB893" s="21"/>
      <c r="CC893" s="21"/>
      <c r="CD893" s="21"/>
      <c r="CE893" s="21"/>
      <c r="CF893" s="21"/>
      <c r="CG893" s="21"/>
      <c r="CH893" s="21"/>
      <c r="CI893" s="21"/>
      <c r="CJ893" s="21"/>
      <c r="CK893" s="21"/>
      <c r="CL893" s="21"/>
      <c r="CM893" s="21"/>
      <c r="CN893" s="21"/>
      <c r="CO893" s="21"/>
      <c r="CP893" s="21"/>
      <c r="CQ893" s="21"/>
      <c r="CR893" s="21"/>
      <c r="CS893" s="21"/>
      <c r="CT893" s="21"/>
      <c r="CU893" s="21"/>
      <c r="CV893" s="21"/>
      <c r="CW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21"/>
      <c r="BT894" s="21"/>
      <c r="BU894" s="21"/>
      <c r="BV894" s="21"/>
      <c r="BW894" s="21"/>
      <c r="BX894" s="21"/>
      <c r="BY894" s="21"/>
      <c r="BZ894" s="21"/>
      <c r="CA894" s="21"/>
      <c r="CB894" s="21"/>
      <c r="CC894" s="21"/>
      <c r="CD894" s="21"/>
      <c r="CE894" s="21"/>
      <c r="CF894" s="21"/>
      <c r="CG894" s="21"/>
      <c r="CH894" s="21"/>
      <c r="CI894" s="21"/>
      <c r="CJ894" s="21"/>
      <c r="CK894" s="21"/>
      <c r="CL894" s="21"/>
      <c r="CM894" s="21"/>
      <c r="CN894" s="21"/>
      <c r="CO894" s="21"/>
      <c r="CP894" s="21"/>
      <c r="CQ894" s="21"/>
      <c r="CR894" s="21"/>
      <c r="CS894" s="21"/>
      <c r="CT894" s="21"/>
      <c r="CU894" s="21"/>
      <c r="CV894" s="21"/>
      <c r="CW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21"/>
      <c r="BT895" s="21"/>
      <c r="BU895" s="21"/>
      <c r="BV895" s="21"/>
      <c r="BW895" s="21"/>
      <c r="BX895" s="21"/>
      <c r="BY895" s="21"/>
      <c r="BZ895" s="21"/>
      <c r="CA895" s="21"/>
      <c r="CB895" s="21"/>
      <c r="CC895" s="21"/>
      <c r="CD895" s="21"/>
      <c r="CE895" s="21"/>
      <c r="CF895" s="21"/>
      <c r="CG895" s="21"/>
      <c r="CH895" s="21"/>
      <c r="CI895" s="21"/>
      <c r="CJ895" s="21"/>
      <c r="CK895" s="21"/>
      <c r="CL895" s="21"/>
      <c r="CM895" s="21"/>
      <c r="CN895" s="21"/>
      <c r="CO895" s="21"/>
      <c r="CP895" s="21"/>
      <c r="CQ895" s="21"/>
      <c r="CR895" s="21"/>
      <c r="CS895" s="21"/>
      <c r="CT895" s="21"/>
      <c r="CU895" s="21"/>
      <c r="CV895" s="21"/>
      <c r="CW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21"/>
      <c r="BT896" s="21"/>
      <c r="BU896" s="21"/>
      <c r="BV896" s="21"/>
      <c r="BW896" s="21"/>
      <c r="BX896" s="21"/>
      <c r="BY896" s="21"/>
      <c r="BZ896" s="21"/>
      <c r="CA896" s="21"/>
      <c r="CB896" s="21"/>
      <c r="CC896" s="21"/>
      <c r="CD896" s="21"/>
      <c r="CE896" s="21"/>
      <c r="CF896" s="21"/>
      <c r="CG896" s="21"/>
      <c r="CH896" s="21"/>
      <c r="CI896" s="21"/>
      <c r="CJ896" s="21"/>
      <c r="CK896" s="21"/>
      <c r="CL896" s="21"/>
      <c r="CM896" s="21"/>
      <c r="CN896" s="21"/>
      <c r="CO896" s="21"/>
      <c r="CP896" s="21"/>
      <c r="CQ896" s="21"/>
      <c r="CR896" s="21"/>
      <c r="CS896" s="21"/>
      <c r="CT896" s="21"/>
      <c r="CU896" s="21"/>
      <c r="CV896" s="21"/>
      <c r="CW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21"/>
      <c r="BT897" s="21"/>
      <c r="BU897" s="21"/>
      <c r="BV897" s="21"/>
      <c r="BW897" s="21"/>
      <c r="BX897" s="21"/>
      <c r="BY897" s="21"/>
      <c r="BZ897" s="21"/>
      <c r="CA897" s="21"/>
      <c r="CB897" s="21"/>
      <c r="CC897" s="21"/>
      <c r="CD897" s="21"/>
      <c r="CE897" s="21"/>
      <c r="CF897" s="21"/>
      <c r="CG897" s="21"/>
      <c r="CH897" s="21"/>
      <c r="CI897" s="21"/>
      <c r="CJ897" s="21"/>
      <c r="CK897" s="21"/>
      <c r="CL897" s="21"/>
      <c r="CM897" s="21"/>
      <c r="CN897" s="21"/>
      <c r="CO897" s="21"/>
      <c r="CP897" s="21"/>
      <c r="CQ897" s="21"/>
      <c r="CR897" s="21"/>
      <c r="CS897" s="21"/>
      <c r="CT897" s="21"/>
      <c r="CU897" s="21"/>
      <c r="CV897" s="21"/>
      <c r="CW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21"/>
      <c r="BT898" s="21"/>
      <c r="BU898" s="21"/>
      <c r="BV898" s="21"/>
      <c r="BW898" s="21"/>
      <c r="BX898" s="21"/>
      <c r="BY898" s="21"/>
      <c r="BZ898" s="21"/>
      <c r="CA898" s="21"/>
      <c r="CB898" s="21"/>
      <c r="CC898" s="21"/>
      <c r="CD898" s="21"/>
      <c r="CE898" s="21"/>
      <c r="CF898" s="21"/>
      <c r="CG898" s="21"/>
      <c r="CH898" s="21"/>
      <c r="CI898" s="21"/>
      <c r="CJ898" s="21"/>
      <c r="CK898" s="21"/>
      <c r="CL898" s="21"/>
      <c r="CM898" s="21"/>
      <c r="CN898" s="21"/>
      <c r="CO898" s="21"/>
      <c r="CP898" s="21"/>
      <c r="CQ898" s="21"/>
      <c r="CR898" s="21"/>
      <c r="CS898" s="21"/>
      <c r="CT898" s="21"/>
      <c r="CU898" s="21"/>
      <c r="CV898" s="21"/>
      <c r="CW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21"/>
      <c r="BT899" s="21"/>
      <c r="BU899" s="21"/>
      <c r="BV899" s="21"/>
      <c r="BW899" s="21"/>
      <c r="BX899" s="21"/>
      <c r="BY899" s="21"/>
      <c r="BZ899" s="21"/>
      <c r="CA899" s="21"/>
      <c r="CB899" s="21"/>
      <c r="CC899" s="21"/>
      <c r="CD899" s="21"/>
      <c r="CE899" s="21"/>
      <c r="CF899" s="21"/>
      <c r="CG899" s="21"/>
      <c r="CH899" s="21"/>
      <c r="CI899" s="21"/>
      <c r="CJ899" s="21"/>
      <c r="CK899" s="21"/>
      <c r="CL899" s="21"/>
      <c r="CM899" s="21"/>
      <c r="CN899" s="21"/>
      <c r="CO899" s="21"/>
      <c r="CP899" s="21"/>
      <c r="CQ899" s="21"/>
      <c r="CR899" s="21"/>
      <c r="CS899" s="21"/>
      <c r="CT899" s="21"/>
      <c r="CU899" s="21"/>
      <c r="CV899" s="21"/>
      <c r="CW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21"/>
      <c r="BT900" s="21"/>
      <c r="BU900" s="21"/>
      <c r="BV900" s="21"/>
      <c r="BW900" s="21"/>
      <c r="BX900" s="21"/>
      <c r="BY900" s="21"/>
      <c r="BZ900" s="21"/>
      <c r="CA900" s="21"/>
      <c r="CB900" s="21"/>
      <c r="CC900" s="21"/>
      <c r="CD900" s="21"/>
      <c r="CE900" s="21"/>
      <c r="CF900" s="21"/>
      <c r="CG900" s="21"/>
      <c r="CH900" s="21"/>
      <c r="CI900" s="21"/>
      <c r="CJ900" s="21"/>
      <c r="CK900" s="21"/>
      <c r="CL900" s="21"/>
      <c r="CM900" s="21"/>
      <c r="CN900" s="21"/>
      <c r="CO900" s="21"/>
      <c r="CP900" s="21"/>
      <c r="CQ900" s="21"/>
      <c r="CR900" s="21"/>
      <c r="CS900" s="21"/>
      <c r="CT900" s="21"/>
      <c r="CU900" s="21"/>
      <c r="CV900" s="21"/>
      <c r="CW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21"/>
      <c r="BT901" s="21"/>
      <c r="BU901" s="21"/>
      <c r="BV901" s="21"/>
      <c r="BW901" s="21"/>
      <c r="BX901" s="21"/>
      <c r="BY901" s="21"/>
      <c r="BZ901" s="21"/>
      <c r="CA901" s="21"/>
      <c r="CB901" s="21"/>
      <c r="CC901" s="21"/>
      <c r="CD901" s="21"/>
      <c r="CE901" s="21"/>
      <c r="CF901" s="21"/>
      <c r="CG901" s="21"/>
      <c r="CH901" s="21"/>
      <c r="CI901" s="21"/>
      <c r="CJ901" s="21"/>
      <c r="CK901" s="21"/>
      <c r="CL901" s="21"/>
      <c r="CM901" s="21"/>
      <c r="CN901" s="21"/>
      <c r="CO901" s="21"/>
      <c r="CP901" s="21"/>
      <c r="CQ901" s="21"/>
      <c r="CR901" s="21"/>
      <c r="CS901" s="21"/>
      <c r="CT901" s="21"/>
      <c r="CU901" s="21"/>
      <c r="CV901" s="21"/>
      <c r="CW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21"/>
      <c r="BT902" s="21"/>
      <c r="BU902" s="21"/>
      <c r="BV902" s="21"/>
      <c r="BW902" s="21"/>
      <c r="BX902" s="21"/>
      <c r="BY902" s="21"/>
      <c r="BZ902" s="21"/>
      <c r="CA902" s="21"/>
      <c r="CB902" s="21"/>
      <c r="CC902" s="21"/>
      <c r="CD902" s="21"/>
      <c r="CE902" s="21"/>
      <c r="CF902" s="21"/>
      <c r="CG902" s="21"/>
      <c r="CH902" s="21"/>
      <c r="CI902" s="21"/>
      <c r="CJ902" s="21"/>
      <c r="CK902" s="21"/>
      <c r="CL902" s="21"/>
      <c r="CM902" s="21"/>
      <c r="CN902" s="21"/>
      <c r="CO902" s="21"/>
      <c r="CP902" s="21"/>
      <c r="CQ902" s="21"/>
      <c r="CR902" s="21"/>
      <c r="CS902" s="21"/>
      <c r="CT902" s="21"/>
      <c r="CU902" s="21"/>
      <c r="CV902" s="21"/>
      <c r="CW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21"/>
      <c r="BT903" s="21"/>
      <c r="BU903" s="21"/>
      <c r="BV903" s="21"/>
      <c r="BW903" s="21"/>
      <c r="BX903" s="21"/>
      <c r="BY903" s="21"/>
      <c r="BZ903" s="21"/>
      <c r="CA903" s="21"/>
      <c r="CB903" s="21"/>
      <c r="CC903" s="21"/>
      <c r="CD903" s="21"/>
      <c r="CE903" s="21"/>
      <c r="CF903" s="21"/>
      <c r="CG903" s="21"/>
      <c r="CH903" s="21"/>
      <c r="CI903" s="21"/>
      <c r="CJ903" s="21"/>
      <c r="CK903" s="21"/>
      <c r="CL903" s="21"/>
      <c r="CM903" s="21"/>
      <c r="CN903" s="21"/>
      <c r="CO903" s="21"/>
      <c r="CP903" s="21"/>
      <c r="CQ903" s="21"/>
      <c r="CR903" s="21"/>
      <c r="CS903" s="21"/>
      <c r="CT903" s="21"/>
      <c r="CU903" s="21"/>
      <c r="CV903" s="21"/>
      <c r="CW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21"/>
      <c r="BT904" s="21"/>
      <c r="BU904" s="21"/>
      <c r="BV904" s="21"/>
      <c r="BW904" s="21"/>
      <c r="BX904" s="21"/>
      <c r="BY904" s="21"/>
      <c r="BZ904" s="21"/>
      <c r="CA904" s="21"/>
      <c r="CB904" s="21"/>
      <c r="CC904" s="21"/>
      <c r="CD904" s="21"/>
      <c r="CE904" s="21"/>
      <c r="CF904" s="21"/>
      <c r="CG904" s="21"/>
      <c r="CH904" s="21"/>
      <c r="CI904" s="21"/>
      <c r="CJ904" s="21"/>
      <c r="CK904" s="21"/>
      <c r="CL904" s="21"/>
      <c r="CM904" s="21"/>
      <c r="CN904" s="21"/>
      <c r="CO904" s="21"/>
      <c r="CP904" s="21"/>
      <c r="CQ904" s="21"/>
      <c r="CR904" s="21"/>
      <c r="CS904" s="21"/>
      <c r="CT904" s="21"/>
      <c r="CU904" s="21"/>
      <c r="CV904" s="21"/>
      <c r="CW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21"/>
      <c r="BT905" s="21"/>
      <c r="BU905" s="21"/>
      <c r="BV905" s="21"/>
      <c r="BW905" s="21"/>
      <c r="BX905" s="21"/>
      <c r="BY905" s="21"/>
      <c r="BZ905" s="21"/>
      <c r="CA905" s="21"/>
      <c r="CB905" s="21"/>
      <c r="CC905" s="21"/>
      <c r="CD905" s="21"/>
      <c r="CE905" s="21"/>
      <c r="CF905" s="21"/>
      <c r="CG905" s="21"/>
      <c r="CH905" s="21"/>
      <c r="CI905" s="21"/>
      <c r="CJ905" s="21"/>
      <c r="CK905" s="21"/>
      <c r="CL905" s="21"/>
      <c r="CM905" s="21"/>
      <c r="CN905" s="21"/>
      <c r="CO905" s="21"/>
      <c r="CP905" s="21"/>
      <c r="CQ905" s="21"/>
      <c r="CR905" s="21"/>
      <c r="CS905" s="21"/>
      <c r="CT905" s="21"/>
      <c r="CU905" s="21"/>
      <c r="CV905" s="21"/>
      <c r="CW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21"/>
      <c r="BT906" s="21"/>
      <c r="BU906" s="21"/>
      <c r="BV906" s="21"/>
      <c r="BW906" s="21"/>
      <c r="BX906" s="21"/>
      <c r="BY906" s="21"/>
      <c r="BZ906" s="21"/>
      <c r="CA906" s="21"/>
      <c r="CB906" s="21"/>
      <c r="CC906" s="21"/>
      <c r="CD906" s="21"/>
      <c r="CE906" s="21"/>
      <c r="CF906" s="21"/>
      <c r="CG906" s="21"/>
      <c r="CH906" s="21"/>
      <c r="CI906" s="21"/>
      <c r="CJ906" s="21"/>
      <c r="CK906" s="21"/>
      <c r="CL906" s="21"/>
      <c r="CM906" s="21"/>
      <c r="CN906" s="21"/>
      <c r="CO906" s="21"/>
      <c r="CP906" s="21"/>
      <c r="CQ906" s="21"/>
      <c r="CR906" s="21"/>
      <c r="CS906" s="21"/>
      <c r="CT906" s="21"/>
      <c r="CU906" s="21"/>
      <c r="CV906" s="21"/>
      <c r="CW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21"/>
      <c r="BT907" s="21"/>
      <c r="BU907" s="21"/>
      <c r="BV907" s="21"/>
      <c r="BW907" s="21"/>
      <c r="BX907" s="21"/>
      <c r="BY907" s="21"/>
      <c r="BZ907" s="21"/>
      <c r="CA907" s="21"/>
      <c r="CB907" s="21"/>
      <c r="CC907" s="21"/>
      <c r="CD907" s="21"/>
      <c r="CE907" s="21"/>
      <c r="CF907" s="21"/>
      <c r="CG907" s="21"/>
      <c r="CH907" s="21"/>
      <c r="CI907" s="21"/>
      <c r="CJ907" s="21"/>
      <c r="CK907" s="21"/>
      <c r="CL907" s="21"/>
      <c r="CM907" s="21"/>
      <c r="CN907" s="21"/>
      <c r="CO907" s="21"/>
      <c r="CP907" s="21"/>
      <c r="CQ907" s="21"/>
      <c r="CR907" s="21"/>
      <c r="CS907" s="21"/>
      <c r="CT907" s="21"/>
      <c r="CU907" s="21"/>
      <c r="CV907" s="21"/>
      <c r="CW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21"/>
      <c r="BT908" s="21"/>
      <c r="BU908" s="21"/>
      <c r="BV908" s="21"/>
      <c r="BW908" s="21"/>
      <c r="BX908" s="21"/>
      <c r="BY908" s="21"/>
      <c r="BZ908" s="21"/>
      <c r="CA908" s="21"/>
      <c r="CB908" s="21"/>
      <c r="CC908" s="21"/>
      <c r="CD908" s="21"/>
      <c r="CE908" s="21"/>
      <c r="CF908" s="21"/>
      <c r="CG908" s="21"/>
      <c r="CH908" s="21"/>
      <c r="CI908" s="21"/>
      <c r="CJ908" s="21"/>
      <c r="CK908" s="21"/>
      <c r="CL908" s="21"/>
      <c r="CM908" s="21"/>
      <c r="CN908" s="21"/>
      <c r="CO908" s="21"/>
      <c r="CP908" s="21"/>
      <c r="CQ908" s="21"/>
      <c r="CR908" s="21"/>
      <c r="CS908" s="21"/>
      <c r="CT908" s="21"/>
      <c r="CU908" s="21"/>
      <c r="CV908" s="21"/>
      <c r="CW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21"/>
      <c r="BT909" s="21"/>
      <c r="BU909" s="21"/>
      <c r="BV909" s="21"/>
      <c r="BW909" s="21"/>
      <c r="BX909" s="21"/>
      <c r="BY909" s="21"/>
      <c r="BZ909" s="21"/>
      <c r="CA909" s="21"/>
      <c r="CB909" s="21"/>
      <c r="CC909" s="21"/>
      <c r="CD909" s="21"/>
      <c r="CE909" s="21"/>
      <c r="CF909" s="21"/>
      <c r="CG909" s="21"/>
      <c r="CH909" s="21"/>
      <c r="CI909" s="21"/>
      <c r="CJ909" s="21"/>
      <c r="CK909" s="21"/>
      <c r="CL909" s="21"/>
      <c r="CM909" s="21"/>
      <c r="CN909" s="21"/>
      <c r="CO909" s="21"/>
      <c r="CP909" s="21"/>
      <c r="CQ909" s="21"/>
      <c r="CR909" s="21"/>
      <c r="CS909" s="21"/>
      <c r="CT909" s="21"/>
      <c r="CU909" s="21"/>
      <c r="CV909" s="21"/>
      <c r="CW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21"/>
      <c r="BT910" s="21"/>
      <c r="BU910" s="21"/>
      <c r="BV910" s="21"/>
      <c r="BW910" s="21"/>
      <c r="BX910" s="21"/>
      <c r="BY910" s="21"/>
      <c r="BZ910" s="21"/>
      <c r="CA910" s="21"/>
      <c r="CB910" s="21"/>
      <c r="CC910" s="21"/>
      <c r="CD910" s="21"/>
      <c r="CE910" s="21"/>
      <c r="CF910" s="21"/>
      <c r="CG910" s="21"/>
      <c r="CH910" s="21"/>
      <c r="CI910" s="21"/>
      <c r="CJ910" s="21"/>
      <c r="CK910" s="21"/>
      <c r="CL910" s="21"/>
      <c r="CM910" s="21"/>
      <c r="CN910" s="21"/>
      <c r="CO910" s="21"/>
      <c r="CP910" s="21"/>
      <c r="CQ910" s="21"/>
      <c r="CR910" s="21"/>
      <c r="CS910" s="21"/>
      <c r="CT910" s="21"/>
      <c r="CU910" s="21"/>
      <c r="CV910" s="21"/>
      <c r="CW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21"/>
      <c r="BT911" s="21"/>
      <c r="BU911" s="21"/>
      <c r="BV911" s="21"/>
      <c r="BW911" s="21"/>
      <c r="BX911" s="21"/>
      <c r="BY911" s="21"/>
      <c r="BZ911" s="21"/>
      <c r="CA911" s="21"/>
      <c r="CB911" s="21"/>
      <c r="CC911" s="21"/>
      <c r="CD911" s="21"/>
      <c r="CE911" s="21"/>
      <c r="CF911" s="21"/>
      <c r="CG911" s="21"/>
      <c r="CH911" s="21"/>
      <c r="CI911" s="21"/>
      <c r="CJ911" s="21"/>
      <c r="CK911" s="21"/>
      <c r="CL911" s="21"/>
      <c r="CM911" s="21"/>
      <c r="CN911" s="21"/>
      <c r="CO911" s="21"/>
      <c r="CP911" s="21"/>
      <c r="CQ911" s="21"/>
      <c r="CR911" s="21"/>
      <c r="CS911" s="21"/>
      <c r="CT911" s="21"/>
      <c r="CU911" s="21"/>
      <c r="CV911" s="21"/>
      <c r="CW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21"/>
      <c r="BT912" s="21"/>
      <c r="BU912" s="21"/>
      <c r="BV912" s="21"/>
      <c r="BW912" s="21"/>
      <c r="BX912" s="21"/>
      <c r="BY912" s="21"/>
      <c r="BZ912" s="21"/>
      <c r="CA912" s="21"/>
      <c r="CB912" s="21"/>
      <c r="CC912" s="21"/>
      <c r="CD912" s="21"/>
      <c r="CE912" s="21"/>
      <c r="CF912" s="21"/>
      <c r="CG912" s="21"/>
      <c r="CH912" s="21"/>
      <c r="CI912" s="21"/>
      <c r="CJ912" s="21"/>
      <c r="CK912" s="21"/>
      <c r="CL912" s="21"/>
      <c r="CM912" s="21"/>
      <c r="CN912" s="21"/>
      <c r="CO912" s="21"/>
      <c r="CP912" s="21"/>
      <c r="CQ912" s="21"/>
      <c r="CR912" s="21"/>
      <c r="CS912" s="21"/>
      <c r="CT912" s="21"/>
      <c r="CU912" s="21"/>
      <c r="CV912" s="21"/>
      <c r="CW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21"/>
      <c r="BT913" s="21"/>
      <c r="BU913" s="21"/>
      <c r="BV913" s="21"/>
      <c r="BW913" s="21"/>
      <c r="BX913" s="21"/>
      <c r="BY913" s="21"/>
      <c r="BZ913" s="21"/>
      <c r="CA913" s="21"/>
      <c r="CB913" s="21"/>
      <c r="CC913" s="21"/>
      <c r="CD913" s="21"/>
      <c r="CE913" s="21"/>
      <c r="CF913" s="21"/>
      <c r="CG913" s="21"/>
      <c r="CH913" s="21"/>
      <c r="CI913" s="21"/>
      <c r="CJ913" s="21"/>
      <c r="CK913" s="21"/>
      <c r="CL913" s="21"/>
      <c r="CM913" s="21"/>
      <c r="CN913" s="21"/>
      <c r="CO913" s="21"/>
      <c r="CP913" s="21"/>
      <c r="CQ913" s="21"/>
      <c r="CR913" s="21"/>
      <c r="CS913" s="21"/>
      <c r="CT913" s="21"/>
      <c r="CU913" s="21"/>
      <c r="CV913" s="21"/>
      <c r="CW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21"/>
      <c r="BT914" s="21"/>
      <c r="BU914" s="21"/>
      <c r="BV914" s="21"/>
      <c r="BW914" s="21"/>
      <c r="BX914" s="21"/>
      <c r="BY914" s="21"/>
      <c r="BZ914" s="21"/>
      <c r="CA914" s="21"/>
      <c r="CB914" s="21"/>
      <c r="CC914" s="21"/>
      <c r="CD914" s="21"/>
      <c r="CE914" s="21"/>
      <c r="CF914" s="21"/>
      <c r="CG914" s="21"/>
      <c r="CH914" s="21"/>
      <c r="CI914" s="21"/>
      <c r="CJ914" s="21"/>
      <c r="CK914" s="21"/>
      <c r="CL914" s="21"/>
      <c r="CM914" s="21"/>
      <c r="CN914" s="21"/>
      <c r="CO914" s="21"/>
      <c r="CP914" s="21"/>
      <c r="CQ914" s="21"/>
      <c r="CR914" s="21"/>
      <c r="CS914" s="21"/>
      <c r="CT914" s="21"/>
      <c r="CU914" s="21"/>
      <c r="CV914" s="21"/>
      <c r="CW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21"/>
      <c r="BT915" s="21"/>
      <c r="BU915" s="21"/>
      <c r="BV915" s="21"/>
      <c r="BW915" s="21"/>
      <c r="BX915" s="21"/>
      <c r="BY915" s="21"/>
      <c r="BZ915" s="21"/>
      <c r="CA915" s="21"/>
      <c r="CB915" s="21"/>
      <c r="CC915" s="21"/>
      <c r="CD915" s="21"/>
      <c r="CE915" s="21"/>
      <c r="CF915" s="21"/>
      <c r="CG915" s="21"/>
      <c r="CH915" s="21"/>
      <c r="CI915" s="21"/>
      <c r="CJ915" s="21"/>
      <c r="CK915" s="21"/>
      <c r="CL915" s="21"/>
      <c r="CM915" s="21"/>
      <c r="CN915" s="21"/>
      <c r="CO915" s="21"/>
      <c r="CP915" s="21"/>
      <c r="CQ915" s="21"/>
      <c r="CR915" s="21"/>
      <c r="CS915" s="21"/>
      <c r="CT915" s="21"/>
      <c r="CU915" s="21"/>
      <c r="CV915" s="21"/>
      <c r="CW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21"/>
      <c r="BT916" s="21"/>
      <c r="BU916" s="21"/>
      <c r="BV916" s="21"/>
      <c r="BW916" s="21"/>
      <c r="BX916" s="21"/>
      <c r="BY916" s="21"/>
      <c r="BZ916" s="21"/>
      <c r="CA916" s="21"/>
      <c r="CB916" s="21"/>
      <c r="CC916" s="21"/>
      <c r="CD916" s="21"/>
      <c r="CE916" s="21"/>
      <c r="CF916" s="21"/>
      <c r="CG916" s="21"/>
      <c r="CH916" s="21"/>
      <c r="CI916" s="21"/>
      <c r="CJ916" s="21"/>
      <c r="CK916" s="21"/>
      <c r="CL916" s="21"/>
      <c r="CM916" s="21"/>
      <c r="CN916" s="21"/>
      <c r="CO916" s="21"/>
      <c r="CP916" s="21"/>
      <c r="CQ916" s="21"/>
      <c r="CR916" s="21"/>
      <c r="CS916" s="21"/>
      <c r="CT916" s="21"/>
      <c r="CU916" s="21"/>
      <c r="CV916" s="21"/>
      <c r="CW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21"/>
      <c r="BT917" s="21"/>
      <c r="BU917" s="21"/>
      <c r="BV917" s="21"/>
      <c r="BW917" s="21"/>
      <c r="BX917" s="21"/>
      <c r="BY917" s="21"/>
      <c r="BZ917" s="21"/>
      <c r="CA917" s="21"/>
      <c r="CB917" s="21"/>
      <c r="CC917" s="21"/>
      <c r="CD917" s="21"/>
      <c r="CE917" s="21"/>
      <c r="CF917" s="21"/>
      <c r="CG917" s="21"/>
      <c r="CH917" s="21"/>
      <c r="CI917" s="21"/>
      <c r="CJ917" s="21"/>
      <c r="CK917" s="21"/>
      <c r="CL917" s="21"/>
      <c r="CM917" s="21"/>
      <c r="CN917" s="21"/>
      <c r="CO917" s="21"/>
      <c r="CP917" s="21"/>
      <c r="CQ917" s="21"/>
      <c r="CR917" s="21"/>
      <c r="CS917" s="21"/>
      <c r="CT917" s="21"/>
      <c r="CU917" s="21"/>
      <c r="CV917" s="21"/>
      <c r="CW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21"/>
      <c r="BT918" s="21"/>
      <c r="BU918" s="21"/>
      <c r="BV918" s="21"/>
      <c r="BW918" s="21"/>
      <c r="BX918" s="21"/>
      <c r="BY918" s="21"/>
      <c r="BZ918" s="21"/>
      <c r="CA918" s="21"/>
      <c r="CB918" s="21"/>
      <c r="CC918" s="21"/>
      <c r="CD918" s="21"/>
      <c r="CE918" s="21"/>
      <c r="CF918" s="21"/>
      <c r="CG918" s="21"/>
      <c r="CH918" s="21"/>
      <c r="CI918" s="21"/>
      <c r="CJ918" s="21"/>
      <c r="CK918" s="21"/>
      <c r="CL918" s="21"/>
      <c r="CM918" s="21"/>
      <c r="CN918" s="21"/>
      <c r="CO918" s="21"/>
      <c r="CP918" s="21"/>
      <c r="CQ918" s="21"/>
      <c r="CR918" s="21"/>
      <c r="CS918" s="21"/>
      <c r="CT918" s="21"/>
      <c r="CU918" s="21"/>
      <c r="CV918" s="21"/>
      <c r="CW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21"/>
      <c r="BT919" s="21"/>
      <c r="BU919" s="21"/>
      <c r="BV919" s="21"/>
      <c r="BW919" s="21"/>
      <c r="BX919" s="21"/>
      <c r="BY919" s="21"/>
      <c r="BZ919" s="21"/>
      <c r="CA919" s="21"/>
      <c r="CB919" s="21"/>
      <c r="CC919" s="21"/>
      <c r="CD919" s="21"/>
      <c r="CE919" s="21"/>
      <c r="CF919" s="21"/>
      <c r="CG919" s="21"/>
      <c r="CH919" s="21"/>
      <c r="CI919" s="21"/>
      <c r="CJ919" s="21"/>
      <c r="CK919" s="21"/>
      <c r="CL919" s="21"/>
      <c r="CM919" s="21"/>
      <c r="CN919" s="21"/>
      <c r="CO919" s="21"/>
      <c r="CP919" s="21"/>
      <c r="CQ919" s="21"/>
      <c r="CR919" s="21"/>
      <c r="CS919" s="21"/>
      <c r="CT919" s="21"/>
      <c r="CU919" s="21"/>
      <c r="CV919" s="21"/>
      <c r="CW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21"/>
      <c r="BT920" s="21"/>
      <c r="BU920" s="21"/>
      <c r="BV920" s="21"/>
      <c r="BW920" s="21"/>
      <c r="BX920" s="21"/>
      <c r="BY920" s="21"/>
      <c r="BZ920" s="21"/>
      <c r="CA920" s="21"/>
      <c r="CB920" s="21"/>
      <c r="CC920" s="21"/>
      <c r="CD920" s="21"/>
      <c r="CE920" s="21"/>
      <c r="CF920" s="21"/>
      <c r="CG920" s="21"/>
      <c r="CH920" s="21"/>
      <c r="CI920" s="21"/>
      <c r="CJ920" s="21"/>
      <c r="CK920" s="21"/>
      <c r="CL920" s="21"/>
      <c r="CM920" s="21"/>
      <c r="CN920" s="21"/>
      <c r="CO920" s="21"/>
      <c r="CP920" s="21"/>
      <c r="CQ920" s="21"/>
      <c r="CR920" s="21"/>
      <c r="CS920" s="21"/>
      <c r="CT920" s="21"/>
      <c r="CU920" s="21"/>
      <c r="CV920" s="21"/>
      <c r="CW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21"/>
      <c r="BT921" s="21"/>
      <c r="BU921" s="21"/>
      <c r="BV921" s="21"/>
      <c r="BW921" s="21"/>
      <c r="BX921" s="21"/>
      <c r="BY921" s="21"/>
      <c r="BZ921" s="21"/>
      <c r="CA921" s="21"/>
      <c r="CB921" s="21"/>
      <c r="CC921" s="21"/>
      <c r="CD921" s="21"/>
      <c r="CE921" s="21"/>
      <c r="CF921" s="21"/>
      <c r="CG921" s="21"/>
      <c r="CH921" s="21"/>
      <c r="CI921" s="21"/>
      <c r="CJ921" s="21"/>
      <c r="CK921" s="21"/>
      <c r="CL921" s="21"/>
      <c r="CM921" s="21"/>
      <c r="CN921" s="21"/>
      <c r="CO921" s="21"/>
      <c r="CP921" s="21"/>
      <c r="CQ921" s="21"/>
      <c r="CR921" s="21"/>
      <c r="CS921" s="21"/>
      <c r="CT921" s="21"/>
      <c r="CU921" s="21"/>
      <c r="CV921" s="21"/>
      <c r="CW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21"/>
      <c r="BT922" s="21"/>
      <c r="BU922" s="21"/>
      <c r="BV922" s="21"/>
      <c r="BW922" s="21"/>
      <c r="BX922" s="21"/>
      <c r="BY922" s="21"/>
      <c r="BZ922" s="21"/>
      <c r="CA922" s="21"/>
      <c r="CB922" s="21"/>
      <c r="CC922" s="21"/>
      <c r="CD922" s="21"/>
      <c r="CE922" s="21"/>
      <c r="CF922" s="21"/>
      <c r="CG922" s="21"/>
      <c r="CH922" s="21"/>
      <c r="CI922" s="21"/>
      <c r="CJ922" s="21"/>
      <c r="CK922" s="21"/>
      <c r="CL922" s="21"/>
      <c r="CM922" s="21"/>
      <c r="CN922" s="21"/>
      <c r="CO922" s="21"/>
      <c r="CP922" s="21"/>
      <c r="CQ922" s="21"/>
      <c r="CR922" s="21"/>
      <c r="CS922" s="21"/>
      <c r="CT922" s="21"/>
      <c r="CU922" s="21"/>
      <c r="CV922" s="21"/>
      <c r="CW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21"/>
      <c r="BT923" s="21"/>
      <c r="BU923" s="21"/>
      <c r="BV923" s="21"/>
      <c r="BW923" s="21"/>
      <c r="BX923" s="21"/>
      <c r="BY923" s="21"/>
      <c r="BZ923" s="21"/>
      <c r="CA923" s="21"/>
      <c r="CB923" s="21"/>
      <c r="CC923" s="21"/>
      <c r="CD923" s="21"/>
      <c r="CE923" s="21"/>
      <c r="CF923" s="21"/>
      <c r="CG923" s="21"/>
      <c r="CH923" s="21"/>
      <c r="CI923" s="21"/>
      <c r="CJ923" s="21"/>
      <c r="CK923" s="21"/>
      <c r="CL923" s="21"/>
      <c r="CM923" s="21"/>
      <c r="CN923" s="21"/>
      <c r="CO923" s="21"/>
      <c r="CP923" s="21"/>
      <c r="CQ923" s="21"/>
      <c r="CR923" s="21"/>
      <c r="CS923" s="21"/>
      <c r="CT923" s="21"/>
      <c r="CU923" s="21"/>
      <c r="CV923" s="21"/>
      <c r="CW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21"/>
      <c r="BT924" s="21"/>
      <c r="BU924" s="21"/>
      <c r="BV924" s="21"/>
      <c r="BW924" s="21"/>
      <c r="BX924" s="21"/>
      <c r="BY924" s="21"/>
      <c r="BZ924" s="21"/>
      <c r="CA924" s="21"/>
      <c r="CB924" s="21"/>
      <c r="CC924" s="21"/>
      <c r="CD924" s="21"/>
      <c r="CE924" s="21"/>
      <c r="CF924" s="21"/>
      <c r="CG924" s="21"/>
      <c r="CH924" s="21"/>
      <c r="CI924" s="21"/>
      <c r="CJ924" s="21"/>
      <c r="CK924" s="21"/>
      <c r="CL924" s="21"/>
      <c r="CM924" s="21"/>
      <c r="CN924" s="21"/>
      <c r="CO924" s="21"/>
      <c r="CP924" s="21"/>
      <c r="CQ924" s="21"/>
      <c r="CR924" s="21"/>
      <c r="CS924" s="21"/>
      <c r="CT924" s="21"/>
      <c r="CU924" s="21"/>
      <c r="CV924" s="21"/>
      <c r="CW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21"/>
      <c r="BT925" s="21"/>
      <c r="BU925" s="21"/>
      <c r="BV925" s="21"/>
      <c r="BW925" s="21"/>
      <c r="BX925" s="21"/>
      <c r="BY925" s="21"/>
      <c r="BZ925" s="21"/>
      <c r="CA925" s="21"/>
      <c r="CB925" s="21"/>
      <c r="CC925" s="21"/>
      <c r="CD925" s="21"/>
      <c r="CE925" s="21"/>
      <c r="CF925" s="21"/>
      <c r="CG925" s="21"/>
      <c r="CH925" s="21"/>
      <c r="CI925" s="21"/>
      <c r="CJ925" s="21"/>
      <c r="CK925" s="21"/>
      <c r="CL925" s="21"/>
      <c r="CM925" s="21"/>
      <c r="CN925" s="21"/>
      <c r="CO925" s="21"/>
      <c r="CP925" s="21"/>
      <c r="CQ925" s="21"/>
      <c r="CR925" s="21"/>
      <c r="CS925" s="21"/>
      <c r="CT925" s="21"/>
      <c r="CU925" s="21"/>
      <c r="CV925" s="21"/>
      <c r="CW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21"/>
      <c r="BT926" s="21"/>
      <c r="BU926" s="21"/>
      <c r="BV926" s="21"/>
      <c r="BW926" s="21"/>
      <c r="BX926" s="21"/>
      <c r="BY926" s="21"/>
      <c r="BZ926" s="21"/>
      <c r="CA926" s="21"/>
      <c r="CB926" s="21"/>
      <c r="CC926" s="21"/>
      <c r="CD926" s="21"/>
      <c r="CE926" s="21"/>
      <c r="CF926" s="21"/>
      <c r="CG926" s="21"/>
      <c r="CH926" s="21"/>
      <c r="CI926" s="21"/>
      <c r="CJ926" s="21"/>
      <c r="CK926" s="21"/>
      <c r="CL926" s="21"/>
      <c r="CM926" s="21"/>
      <c r="CN926" s="21"/>
      <c r="CO926" s="21"/>
      <c r="CP926" s="21"/>
      <c r="CQ926" s="21"/>
      <c r="CR926" s="21"/>
      <c r="CS926" s="21"/>
      <c r="CT926" s="21"/>
      <c r="CU926" s="21"/>
      <c r="CV926" s="21"/>
      <c r="CW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21"/>
      <c r="BT927" s="21"/>
      <c r="BU927" s="21"/>
      <c r="BV927" s="21"/>
      <c r="BW927" s="21"/>
      <c r="BX927" s="21"/>
      <c r="BY927" s="21"/>
      <c r="BZ927" s="21"/>
      <c r="CA927" s="21"/>
      <c r="CB927" s="21"/>
      <c r="CC927" s="21"/>
      <c r="CD927" s="21"/>
      <c r="CE927" s="21"/>
      <c r="CF927" s="21"/>
      <c r="CG927" s="21"/>
      <c r="CH927" s="21"/>
      <c r="CI927" s="21"/>
      <c r="CJ927" s="21"/>
      <c r="CK927" s="21"/>
      <c r="CL927" s="21"/>
      <c r="CM927" s="21"/>
      <c r="CN927" s="21"/>
      <c r="CO927" s="21"/>
      <c r="CP927" s="21"/>
      <c r="CQ927" s="21"/>
      <c r="CR927" s="21"/>
      <c r="CS927" s="21"/>
      <c r="CT927" s="21"/>
      <c r="CU927" s="21"/>
      <c r="CV927" s="21"/>
      <c r="CW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21"/>
      <c r="BT928" s="21"/>
      <c r="BU928" s="21"/>
      <c r="BV928" s="21"/>
      <c r="BW928" s="21"/>
      <c r="BX928" s="21"/>
      <c r="BY928" s="21"/>
      <c r="BZ928" s="21"/>
      <c r="CA928" s="21"/>
      <c r="CB928" s="21"/>
      <c r="CC928" s="21"/>
      <c r="CD928" s="21"/>
      <c r="CE928" s="21"/>
      <c r="CF928" s="21"/>
      <c r="CG928" s="21"/>
      <c r="CH928" s="21"/>
      <c r="CI928" s="21"/>
      <c r="CJ928" s="21"/>
      <c r="CK928" s="21"/>
      <c r="CL928" s="21"/>
      <c r="CM928" s="21"/>
      <c r="CN928" s="21"/>
      <c r="CO928" s="21"/>
      <c r="CP928" s="21"/>
      <c r="CQ928" s="21"/>
      <c r="CR928" s="21"/>
      <c r="CS928" s="21"/>
      <c r="CT928" s="21"/>
      <c r="CU928" s="21"/>
      <c r="CV928" s="21"/>
      <c r="CW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21"/>
      <c r="BT929" s="21"/>
      <c r="BU929" s="21"/>
      <c r="BV929" s="21"/>
      <c r="BW929" s="21"/>
      <c r="BX929" s="21"/>
      <c r="BY929" s="21"/>
      <c r="BZ929" s="21"/>
      <c r="CA929" s="21"/>
      <c r="CB929" s="21"/>
      <c r="CC929" s="21"/>
      <c r="CD929" s="21"/>
      <c r="CE929" s="21"/>
      <c r="CF929" s="21"/>
      <c r="CG929" s="21"/>
      <c r="CH929" s="21"/>
      <c r="CI929" s="21"/>
      <c r="CJ929" s="21"/>
      <c r="CK929" s="21"/>
      <c r="CL929" s="21"/>
      <c r="CM929" s="21"/>
      <c r="CN929" s="21"/>
      <c r="CO929" s="21"/>
      <c r="CP929" s="21"/>
      <c r="CQ929" s="21"/>
      <c r="CR929" s="21"/>
      <c r="CS929" s="21"/>
      <c r="CT929" s="21"/>
      <c r="CU929" s="21"/>
      <c r="CV929" s="21"/>
      <c r="CW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21"/>
      <c r="BT930" s="21"/>
      <c r="BU930" s="21"/>
      <c r="BV930" s="21"/>
      <c r="BW930" s="21"/>
      <c r="BX930" s="21"/>
      <c r="BY930" s="21"/>
      <c r="BZ930" s="21"/>
      <c r="CA930" s="21"/>
      <c r="CB930" s="21"/>
      <c r="CC930" s="21"/>
      <c r="CD930" s="21"/>
      <c r="CE930" s="21"/>
      <c r="CF930" s="21"/>
      <c r="CG930" s="21"/>
      <c r="CH930" s="21"/>
      <c r="CI930" s="21"/>
      <c r="CJ930" s="21"/>
      <c r="CK930" s="21"/>
      <c r="CL930" s="21"/>
      <c r="CM930" s="21"/>
      <c r="CN930" s="21"/>
      <c r="CO930" s="21"/>
      <c r="CP930" s="21"/>
      <c r="CQ930" s="21"/>
      <c r="CR930" s="21"/>
      <c r="CS930" s="21"/>
      <c r="CT930" s="21"/>
      <c r="CU930" s="21"/>
      <c r="CV930" s="21"/>
      <c r="CW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21"/>
      <c r="BT931" s="21"/>
      <c r="BU931" s="21"/>
      <c r="BV931" s="21"/>
      <c r="BW931" s="21"/>
      <c r="BX931" s="21"/>
      <c r="BY931" s="21"/>
      <c r="BZ931" s="21"/>
      <c r="CA931" s="21"/>
      <c r="CB931" s="21"/>
      <c r="CC931" s="21"/>
      <c r="CD931" s="21"/>
      <c r="CE931" s="21"/>
      <c r="CF931" s="21"/>
      <c r="CG931" s="21"/>
      <c r="CH931" s="21"/>
      <c r="CI931" s="21"/>
      <c r="CJ931" s="21"/>
      <c r="CK931" s="21"/>
      <c r="CL931" s="21"/>
      <c r="CM931" s="21"/>
      <c r="CN931" s="21"/>
      <c r="CO931" s="21"/>
      <c r="CP931" s="21"/>
      <c r="CQ931" s="21"/>
      <c r="CR931" s="21"/>
      <c r="CS931" s="21"/>
      <c r="CT931" s="21"/>
      <c r="CU931" s="21"/>
      <c r="CV931" s="21"/>
      <c r="CW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21"/>
      <c r="BT932" s="21"/>
      <c r="BU932" s="21"/>
      <c r="BV932" s="21"/>
      <c r="BW932" s="21"/>
      <c r="BX932" s="21"/>
      <c r="BY932" s="21"/>
      <c r="BZ932" s="21"/>
      <c r="CA932" s="21"/>
      <c r="CB932" s="21"/>
      <c r="CC932" s="21"/>
      <c r="CD932" s="21"/>
      <c r="CE932" s="21"/>
      <c r="CF932" s="21"/>
      <c r="CG932" s="21"/>
      <c r="CH932" s="21"/>
      <c r="CI932" s="21"/>
      <c r="CJ932" s="21"/>
      <c r="CK932" s="21"/>
      <c r="CL932" s="21"/>
      <c r="CM932" s="21"/>
      <c r="CN932" s="21"/>
      <c r="CO932" s="21"/>
      <c r="CP932" s="21"/>
      <c r="CQ932" s="21"/>
      <c r="CR932" s="21"/>
      <c r="CS932" s="21"/>
      <c r="CT932" s="21"/>
      <c r="CU932" s="21"/>
      <c r="CV932" s="21"/>
      <c r="CW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21"/>
      <c r="BT933" s="21"/>
      <c r="BU933" s="21"/>
      <c r="BV933" s="21"/>
      <c r="BW933" s="21"/>
      <c r="BX933" s="21"/>
      <c r="BY933" s="21"/>
      <c r="BZ933" s="21"/>
      <c r="CA933" s="21"/>
      <c r="CB933" s="21"/>
      <c r="CC933" s="21"/>
      <c r="CD933" s="21"/>
      <c r="CE933" s="21"/>
      <c r="CF933" s="21"/>
      <c r="CG933" s="21"/>
      <c r="CH933" s="21"/>
      <c r="CI933" s="21"/>
      <c r="CJ933" s="21"/>
      <c r="CK933" s="21"/>
      <c r="CL933" s="21"/>
      <c r="CM933" s="21"/>
      <c r="CN933" s="21"/>
      <c r="CO933" s="21"/>
      <c r="CP933" s="21"/>
      <c r="CQ933" s="21"/>
      <c r="CR933" s="21"/>
      <c r="CS933" s="21"/>
      <c r="CT933" s="21"/>
      <c r="CU933" s="21"/>
      <c r="CV933" s="21"/>
      <c r="CW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21"/>
      <c r="BT934" s="21"/>
      <c r="BU934" s="21"/>
      <c r="BV934" s="21"/>
      <c r="BW934" s="21"/>
      <c r="BX934" s="21"/>
      <c r="BY934" s="21"/>
      <c r="BZ934" s="21"/>
      <c r="CA934" s="21"/>
      <c r="CB934" s="21"/>
      <c r="CC934" s="21"/>
      <c r="CD934" s="21"/>
      <c r="CE934" s="21"/>
      <c r="CF934" s="21"/>
      <c r="CG934" s="21"/>
      <c r="CH934" s="21"/>
      <c r="CI934" s="21"/>
      <c r="CJ934" s="21"/>
      <c r="CK934" s="21"/>
      <c r="CL934" s="21"/>
      <c r="CM934" s="21"/>
      <c r="CN934" s="21"/>
      <c r="CO934" s="21"/>
      <c r="CP934" s="21"/>
      <c r="CQ934" s="21"/>
      <c r="CR934" s="21"/>
      <c r="CS934" s="21"/>
      <c r="CT934" s="21"/>
      <c r="CU934" s="21"/>
      <c r="CV934" s="21"/>
      <c r="CW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21"/>
      <c r="BT935" s="21"/>
      <c r="BU935" s="21"/>
      <c r="BV935" s="21"/>
      <c r="BW935" s="21"/>
      <c r="BX935" s="21"/>
      <c r="BY935" s="21"/>
      <c r="BZ935" s="21"/>
      <c r="CA935" s="21"/>
      <c r="CB935" s="21"/>
      <c r="CC935" s="21"/>
      <c r="CD935" s="21"/>
      <c r="CE935" s="21"/>
      <c r="CF935" s="21"/>
      <c r="CG935" s="21"/>
      <c r="CH935" s="21"/>
      <c r="CI935" s="21"/>
      <c r="CJ935" s="21"/>
      <c r="CK935" s="21"/>
      <c r="CL935" s="21"/>
      <c r="CM935" s="21"/>
      <c r="CN935" s="21"/>
      <c r="CO935" s="21"/>
      <c r="CP935" s="21"/>
      <c r="CQ935" s="21"/>
      <c r="CR935" s="21"/>
      <c r="CS935" s="21"/>
      <c r="CT935" s="21"/>
      <c r="CU935" s="21"/>
      <c r="CV935" s="21"/>
      <c r="CW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21"/>
      <c r="BT936" s="21"/>
      <c r="BU936" s="21"/>
      <c r="BV936" s="21"/>
      <c r="BW936" s="21"/>
      <c r="BX936" s="21"/>
      <c r="BY936" s="21"/>
      <c r="BZ936" s="21"/>
      <c r="CA936" s="21"/>
      <c r="CB936" s="21"/>
      <c r="CC936" s="21"/>
      <c r="CD936" s="21"/>
      <c r="CE936" s="21"/>
      <c r="CF936" s="21"/>
      <c r="CG936" s="21"/>
      <c r="CH936" s="21"/>
      <c r="CI936" s="21"/>
      <c r="CJ936" s="21"/>
      <c r="CK936" s="21"/>
      <c r="CL936" s="21"/>
      <c r="CM936" s="21"/>
      <c r="CN936" s="21"/>
      <c r="CO936" s="21"/>
      <c r="CP936" s="21"/>
      <c r="CQ936" s="21"/>
      <c r="CR936" s="21"/>
      <c r="CS936" s="21"/>
      <c r="CT936" s="21"/>
      <c r="CU936" s="21"/>
      <c r="CV936" s="21"/>
      <c r="CW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21"/>
      <c r="BT937" s="21"/>
      <c r="BU937" s="21"/>
      <c r="BV937" s="21"/>
      <c r="BW937" s="21"/>
      <c r="BX937" s="21"/>
      <c r="BY937" s="21"/>
      <c r="BZ937" s="21"/>
      <c r="CA937" s="21"/>
      <c r="CB937" s="21"/>
      <c r="CC937" s="21"/>
      <c r="CD937" s="21"/>
      <c r="CE937" s="21"/>
      <c r="CF937" s="21"/>
      <c r="CG937" s="21"/>
      <c r="CH937" s="21"/>
      <c r="CI937" s="21"/>
      <c r="CJ937" s="21"/>
      <c r="CK937" s="21"/>
      <c r="CL937" s="21"/>
      <c r="CM937" s="21"/>
      <c r="CN937" s="21"/>
      <c r="CO937" s="21"/>
      <c r="CP937" s="21"/>
      <c r="CQ937" s="21"/>
      <c r="CR937" s="21"/>
      <c r="CS937" s="21"/>
      <c r="CT937" s="21"/>
      <c r="CU937" s="21"/>
      <c r="CV937" s="21"/>
      <c r="CW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21"/>
      <c r="BT938" s="21"/>
      <c r="BU938" s="21"/>
      <c r="BV938" s="21"/>
      <c r="BW938" s="21"/>
      <c r="BX938" s="21"/>
      <c r="BY938" s="21"/>
      <c r="BZ938" s="21"/>
      <c r="CA938" s="21"/>
      <c r="CB938" s="21"/>
      <c r="CC938" s="21"/>
      <c r="CD938" s="21"/>
      <c r="CE938" s="21"/>
      <c r="CF938" s="21"/>
      <c r="CG938" s="21"/>
      <c r="CH938" s="21"/>
      <c r="CI938" s="21"/>
      <c r="CJ938" s="21"/>
      <c r="CK938" s="21"/>
      <c r="CL938" s="21"/>
      <c r="CM938" s="21"/>
      <c r="CN938" s="21"/>
      <c r="CO938" s="21"/>
      <c r="CP938" s="21"/>
      <c r="CQ938" s="21"/>
      <c r="CR938" s="21"/>
      <c r="CS938" s="21"/>
      <c r="CT938" s="21"/>
      <c r="CU938" s="21"/>
      <c r="CV938" s="21"/>
      <c r="CW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  <c r="BQ939" s="21"/>
      <c r="BR939" s="21"/>
      <c r="BS939" s="21"/>
      <c r="BT939" s="21"/>
      <c r="BU939" s="21"/>
      <c r="BV939" s="21"/>
      <c r="BW939" s="21"/>
      <c r="BX939" s="21"/>
      <c r="BY939" s="21"/>
      <c r="BZ939" s="21"/>
      <c r="CA939" s="21"/>
      <c r="CB939" s="21"/>
      <c r="CC939" s="21"/>
      <c r="CD939" s="21"/>
      <c r="CE939" s="21"/>
      <c r="CF939" s="21"/>
      <c r="CG939" s="21"/>
      <c r="CH939" s="21"/>
      <c r="CI939" s="21"/>
      <c r="CJ939" s="21"/>
      <c r="CK939" s="21"/>
      <c r="CL939" s="21"/>
      <c r="CM939" s="21"/>
      <c r="CN939" s="21"/>
      <c r="CO939" s="21"/>
      <c r="CP939" s="21"/>
      <c r="CQ939" s="21"/>
      <c r="CR939" s="21"/>
      <c r="CS939" s="21"/>
      <c r="CT939" s="21"/>
      <c r="CU939" s="21"/>
      <c r="CV939" s="21"/>
      <c r="CW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  <c r="BP940" s="21"/>
      <c r="BQ940" s="21"/>
      <c r="BR940" s="21"/>
      <c r="BS940" s="21"/>
      <c r="BT940" s="21"/>
      <c r="BU940" s="21"/>
      <c r="BV940" s="21"/>
      <c r="BW940" s="21"/>
      <c r="BX940" s="21"/>
      <c r="BY940" s="21"/>
      <c r="BZ940" s="21"/>
      <c r="CA940" s="21"/>
      <c r="CB940" s="21"/>
      <c r="CC940" s="21"/>
      <c r="CD940" s="21"/>
      <c r="CE940" s="21"/>
      <c r="CF940" s="21"/>
      <c r="CG940" s="21"/>
      <c r="CH940" s="21"/>
      <c r="CI940" s="21"/>
      <c r="CJ940" s="21"/>
      <c r="CK940" s="21"/>
      <c r="CL940" s="21"/>
      <c r="CM940" s="21"/>
      <c r="CN940" s="21"/>
      <c r="CO940" s="21"/>
      <c r="CP940" s="21"/>
      <c r="CQ940" s="21"/>
      <c r="CR940" s="21"/>
      <c r="CS940" s="21"/>
      <c r="CT940" s="21"/>
      <c r="CU940" s="21"/>
      <c r="CV940" s="21"/>
      <c r="CW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  <c r="BQ941" s="21"/>
      <c r="BR941" s="21"/>
      <c r="BS941" s="21"/>
      <c r="BT941" s="21"/>
      <c r="BU941" s="21"/>
      <c r="BV941" s="21"/>
      <c r="BW941" s="21"/>
      <c r="BX941" s="21"/>
      <c r="BY941" s="21"/>
      <c r="BZ941" s="21"/>
      <c r="CA941" s="21"/>
      <c r="CB941" s="21"/>
      <c r="CC941" s="21"/>
      <c r="CD941" s="21"/>
      <c r="CE941" s="21"/>
      <c r="CF941" s="21"/>
      <c r="CG941" s="21"/>
      <c r="CH941" s="21"/>
      <c r="CI941" s="21"/>
      <c r="CJ941" s="21"/>
      <c r="CK941" s="21"/>
      <c r="CL941" s="21"/>
      <c r="CM941" s="21"/>
      <c r="CN941" s="21"/>
      <c r="CO941" s="21"/>
      <c r="CP941" s="21"/>
      <c r="CQ941" s="21"/>
      <c r="CR941" s="21"/>
      <c r="CS941" s="21"/>
      <c r="CT941" s="21"/>
      <c r="CU941" s="21"/>
      <c r="CV941" s="21"/>
      <c r="CW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  <c r="BQ942" s="21"/>
      <c r="BR942" s="21"/>
      <c r="BS942" s="21"/>
      <c r="BT942" s="21"/>
      <c r="BU942" s="21"/>
      <c r="BV942" s="21"/>
      <c r="BW942" s="21"/>
      <c r="BX942" s="21"/>
      <c r="BY942" s="21"/>
      <c r="BZ942" s="21"/>
      <c r="CA942" s="21"/>
      <c r="CB942" s="21"/>
      <c r="CC942" s="21"/>
      <c r="CD942" s="21"/>
      <c r="CE942" s="21"/>
      <c r="CF942" s="21"/>
      <c r="CG942" s="21"/>
      <c r="CH942" s="21"/>
      <c r="CI942" s="21"/>
      <c r="CJ942" s="21"/>
      <c r="CK942" s="21"/>
      <c r="CL942" s="21"/>
      <c r="CM942" s="21"/>
      <c r="CN942" s="21"/>
      <c r="CO942" s="21"/>
      <c r="CP942" s="21"/>
      <c r="CQ942" s="21"/>
      <c r="CR942" s="21"/>
      <c r="CS942" s="21"/>
      <c r="CT942" s="21"/>
      <c r="CU942" s="21"/>
      <c r="CV942" s="21"/>
      <c r="CW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  <c r="BQ943" s="21"/>
      <c r="BR943" s="21"/>
      <c r="BS943" s="21"/>
      <c r="BT943" s="21"/>
      <c r="BU943" s="21"/>
      <c r="BV943" s="21"/>
      <c r="BW943" s="21"/>
      <c r="BX943" s="21"/>
      <c r="BY943" s="21"/>
      <c r="BZ943" s="21"/>
      <c r="CA943" s="21"/>
      <c r="CB943" s="21"/>
      <c r="CC943" s="21"/>
      <c r="CD943" s="21"/>
      <c r="CE943" s="21"/>
      <c r="CF943" s="21"/>
      <c r="CG943" s="21"/>
      <c r="CH943" s="21"/>
      <c r="CI943" s="21"/>
      <c r="CJ943" s="21"/>
      <c r="CK943" s="21"/>
      <c r="CL943" s="21"/>
      <c r="CM943" s="21"/>
      <c r="CN943" s="21"/>
      <c r="CO943" s="21"/>
      <c r="CP943" s="21"/>
      <c r="CQ943" s="21"/>
      <c r="CR943" s="21"/>
      <c r="CS943" s="21"/>
      <c r="CT943" s="21"/>
      <c r="CU943" s="21"/>
      <c r="CV943" s="21"/>
      <c r="CW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  <c r="BQ944" s="21"/>
      <c r="BR944" s="21"/>
      <c r="BS944" s="21"/>
      <c r="BT944" s="21"/>
      <c r="BU944" s="21"/>
      <c r="BV944" s="21"/>
      <c r="BW944" s="21"/>
      <c r="BX944" s="21"/>
      <c r="BY944" s="21"/>
      <c r="BZ944" s="21"/>
      <c r="CA944" s="21"/>
      <c r="CB944" s="21"/>
      <c r="CC944" s="21"/>
      <c r="CD944" s="21"/>
      <c r="CE944" s="21"/>
      <c r="CF944" s="21"/>
      <c r="CG944" s="21"/>
      <c r="CH944" s="21"/>
      <c r="CI944" s="21"/>
      <c r="CJ944" s="21"/>
      <c r="CK944" s="21"/>
      <c r="CL944" s="21"/>
      <c r="CM944" s="21"/>
      <c r="CN944" s="21"/>
      <c r="CO944" s="21"/>
      <c r="CP944" s="21"/>
      <c r="CQ944" s="21"/>
      <c r="CR944" s="21"/>
      <c r="CS944" s="21"/>
      <c r="CT944" s="21"/>
      <c r="CU944" s="21"/>
      <c r="CV944" s="21"/>
      <c r="CW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  <c r="BQ945" s="21"/>
      <c r="BR945" s="21"/>
      <c r="BS945" s="21"/>
      <c r="BT945" s="21"/>
      <c r="BU945" s="21"/>
      <c r="BV945" s="21"/>
      <c r="BW945" s="21"/>
      <c r="BX945" s="21"/>
      <c r="BY945" s="21"/>
      <c r="BZ945" s="21"/>
      <c r="CA945" s="21"/>
      <c r="CB945" s="21"/>
      <c r="CC945" s="21"/>
      <c r="CD945" s="21"/>
      <c r="CE945" s="21"/>
      <c r="CF945" s="21"/>
      <c r="CG945" s="21"/>
      <c r="CH945" s="21"/>
      <c r="CI945" s="21"/>
      <c r="CJ945" s="21"/>
      <c r="CK945" s="21"/>
      <c r="CL945" s="21"/>
      <c r="CM945" s="21"/>
      <c r="CN945" s="21"/>
      <c r="CO945" s="21"/>
      <c r="CP945" s="21"/>
      <c r="CQ945" s="21"/>
      <c r="CR945" s="21"/>
      <c r="CS945" s="21"/>
      <c r="CT945" s="21"/>
      <c r="CU945" s="21"/>
      <c r="CV945" s="21"/>
      <c r="CW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  <c r="BQ946" s="21"/>
      <c r="BR946" s="21"/>
      <c r="BS946" s="21"/>
      <c r="BT946" s="21"/>
      <c r="BU946" s="21"/>
      <c r="BV946" s="21"/>
      <c r="BW946" s="21"/>
      <c r="BX946" s="21"/>
      <c r="BY946" s="21"/>
      <c r="BZ946" s="21"/>
      <c r="CA946" s="21"/>
      <c r="CB946" s="21"/>
      <c r="CC946" s="21"/>
      <c r="CD946" s="21"/>
      <c r="CE946" s="21"/>
      <c r="CF946" s="21"/>
      <c r="CG946" s="21"/>
      <c r="CH946" s="21"/>
      <c r="CI946" s="21"/>
      <c r="CJ946" s="21"/>
      <c r="CK946" s="21"/>
      <c r="CL946" s="21"/>
      <c r="CM946" s="21"/>
      <c r="CN946" s="21"/>
      <c r="CO946" s="21"/>
      <c r="CP946" s="21"/>
      <c r="CQ946" s="21"/>
      <c r="CR946" s="21"/>
      <c r="CS946" s="21"/>
      <c r="CT946" s="21"/>
      <c r="CU946" s="21"/>
      <c r="CV946" s="21"/>
      <c r="CW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  <c r="BQ947" s="21"/>
      <c r="BR947" s="21"/>
      <c r="BS947" s="21"/>
      <c r="BT947" s="21"/>
      <c r="BU947" s="21"/>
      <c r="BV947" s="21"/>
      <c r="BW947" s="21"/>
      <c r="BX947" s="21"/>
      <c r="BY947" s="21"/>
      <c r="BZ947" s="21"/>
      <c r="CA947" s="21"/>
      <c r="CB947" s="21"/>
      <c r="CC947" s="21"/>
      <c r="CD947" s="21"/>
      <c r="CE947" s="21"/>
      <c r="CF947" s="21"/>
      <c r="CG947" s="21"/>
      <c r="CH947" s="21"/>
      <c r="CI947" s="21"/>
      <c r="CJ947" s="21"/>
      <c r="CK947" s="21"/>
      <c r="CL947" s="21"/>
      <c r="CM947" s="21"/>
      <c r="CN947" s="21"/>
      <c r="CO947" s="21"/>
      <c r="CP947" s="21"/>
      <c r="CQ947" s="21"/>
      <c r="CR947" s="21"/>
      <c r="CS947" s="21"/>
      <c r="CT947" s="21"/>
      <c r="CU947" s="21"/>
      <c r="CV947" s="21"/>
      <c r="CW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  <c r="BP948" s="21"/>
      <c r="BQ948" s="21"/>
      <c r="BR948" s="21"/>
      <c r="BS948" s="21"/>
      <c r="BT948" s="21"/>
      <c r="BU948" s="21"/>
      <c r="BV948" s="21"/>
      <c r="BW948" s="21"/>
      <c r="BX948" s="21"/>
      <c r="BY948" s="21"/>
      <c r="BZ948" s="21"/>
      <c r="CA948" s="21"/>
      <c r="CB948" s="21"/>
      <c r="CC948" s="21"/>
      <c r="CD948" s="21"/>
      <c r="CE948" s="21"/>
      <c r="CF948" s="21"/>
      <c r="CG948" s="21"/>
      <c r="CH948" s="21"/>
      <c r="CI948" s="21"/>
      <c r="CJ948" s="21"/>
      <c r="CK948" s="21"/>
      <c r="CL948" s="21"/>
      <c r="CM948" s="21"/>
      <c r="CN948" s="21"/>
      <c r="CO948" s="21"/>
      <c r="CP948" s="21"/>
      <c r="CQ948" s="21"/>
      <c r="CR948" s="21"/>
      <c r="CS948" s="21"/>
      <c r="CT948" s="21"/>
      <c r="CU948" s="21"/>
      <c r="CV948" s="21"/>
      <c r="CW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  <c r="BQ949" s="21"/>
      <c r="BR949" s="21"/>
      <c r="BS949" s="21"/>
      <c r="BT949" s="21"/>
      <c r="BU949" s="21"/>
      <c r="BV949" s="21"/>
      <c r="BW949" s="21"/>
      <c r="BX949" s="21"/>
      <c r="BY949" s="21"/>
      <c r="BZ949" s="21"/>
      <c r="CA949" s="21"/>
      <c r="CB949" s="21"/>
      <c r="CC949" s="21"/>
      <c r="CD949" s="21"/>
      <c r="CE949" s="21"/>
      <c r="CF949" s="21"/>
      <c r="CG949" s="21"/>
      <c r="CH949" s="21"/>
      <c r="CI949" s="21"/>
      <c r="CJ949" s="21"/>
      <c r="CK949" s="21"/>
      <c r="CL949" s="21"/>
      <c r="CM949" s="21"/>
      <c r="CN949" s="21"/>
      <c r="CO949" s="21"/>
      <c r="CP949" s="21"/>
      <c r="CQ949" s="21"/>
      <c r="CR949" s="21"/>
      <c r="CS949" s="21"/>
      <c r="CT949" s="21"/>
      <c r="CU949" s="21"/>
      <c r="CV949" s="21"/>
      <c r="CW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  <c r="BQ950" s="21"/>
      <c r="BR950" s="21"/>
      <c r="BS950" s="21"/>
      <c r="BT950" s="21"/>
      <c r="BU950" s="21"/>
      <c r="BV950" s="21"/>
      <c r="BW950" s="21"/>
      <c r="BX950" s="21"/>
      <c r="BY950" s="21"/>
      <c r="BZ950" s="21"/>
      <c r="CA950" s="21"/>
      <c r="CB950" s="21"/>
      <c r="CC950" s="21"/>
      <c r="CD950" s="21"/>
      <c r="CE950" s="21"/>
      <c r="CF950" s="21"/>
      <c r="CG950" s="21"/>
      <c r="CH950" s="21"/>
      <c r="CI950" s="21"/>
      <c r="CJ950" s="21"/>
      <c r="CK950" s="21"/>
      <c r="CL950" s="21"/>
      <c r="CM950" s="21"/>
      <c r="CN950" s="21"/>
      <c r="CO950" s="21"/>
      <c r="CP950" s="21"/>
      <c r="CQ950" s="21"/>
      <c r="CR950" s="21"/>
      <c r="CS950" s="21"/>
      <c r="CT950" s="21"/>
      <c r="CU950" s="21"/>
      <c r="CV950" s="21"/>
      <c r="CW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  <c r="BP951" s="21"/>
      <c r="BQ951" s="21"/>
      <c r="BR951" s="21"/>
      <c r="BS951" s="21"/>
      <c r="BT951" s="21"/>
      <c r="BU951" s="21"/>
      <c r="BV951" s="21"/>
      <c r="BW951" s="21"/>
      <c r="BX951" s="21"/>
      <c r="BY951" s="21"/>
      <c r="BZ951" s="21"/>
      <c r="CA951" s="21"/>
      <c r="CB951" s="21"/>
      <c r="CC951" s="21"/>
      <c r="CD951" s="21"/>
      <c r="CE951" s="21"/>
      <c r="CF951" s="21"/>
      <c r="CG951" s="21"/>
      <c r="CH951" s="21"/>
      <c r="CI951" s="21"/>
      <c r="CJ951" s="21"/>
      <c r="CK951" s="21"/>
      <c r="CL951" s="21"/>
      <c r="CM951" s="21"/>
      <c r="CN951" s="21"/>
      <c r="CO951" s="21"/>
      <c r="CP951" s="21"/>
      <c r="CQ951" s="21"/>
      <c r="CR951" s="21"/>
      <c r="CS951" s="21"/>
      <c r="CT951" s="21"/>
      <c r="CU951" s="21"/>
      <c r="CV951" s="21"/>
      <c r="CW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  <c r="BQ952" s="21"/>
      <c r="BR952" s="21"/>
      <c r="BS952" s="21"/>
      <c r="BT952" s="21"/>
      <c r="BU952" s="21"/>
      <c r="BV952" s="21"/>
      <c r="BW952" s="21"/>
      <c r="BX952" s="21"/>
      <c r="BY952" s="21"/>
      <c r="BZ952" s="21"/>
      <c r="CA952" s="21"/>
      <c r="CB952" s="21"/>
      <c r="CC952" s="21"/>
      <c r="CD952" s="21"/>
      <c r="CE952" s="21"/>
      <c r="CF952" s="21"/>
      <c r="CG952" s="21"/>
      <c r="CH952" s="21"/>
      <c r="CI952" s="21"/>
      <c r="CJ952" s="21"/>
      <c r="CK952" s="21"/>
      <c r="CL952" s="21"/>
      <c r="CM952" s="21"/>
      <c r="CN952" s="21"/>
      <c r="CO952" s="21"/>
      <c r="CP952" s="21"/>
      <c r="CQ952" s="21"/>
      <c r="CR952" s="21"/>
      <c r="CS952" s="21"/>
      <c r="CT952" s="21"/>
      <c r="CU952" s="21"/>
      <c r="CV952" s="21"/>
      <c r="CW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  <c r="BP953" s="21"/>
      <c r="BQ953" s="21"/>
      <c r="BR953" s="21"/>
      <c r="BS953" s="21"/>
      <c r="BT953" s="21"/>
      <c r="BU953" s="21"/>
      <c r="BV953" s="21"/>
      <c r="BW953" s="21"/>
      <c r="BX953" s="21"/>
      <c r="BY953" s="21"/>
      <c r="BZ953" s="21"/>
      <c r="CA953" s="21"/>
      <c r="CB953" s="21"/>
      <c r="CC953" s="21"/>
      <c r="CD953" s="21"/>
      <c r="CE953" s="21"/>
      <c r="CF953" s="21"/>
      <c r="CG953" s="21"/>
      <c r="CH953" s="21"/>
      <c r="CI953" s="21"/>
      <c r="CJ953" s="21"/>
      <c r="CK953" s="21"/>
      <c r="CL953" s="21"/>
      <c r="CM953" s="21"/>
      <c r="CN953" s="21"/>
      <c r="CO953" s="21"/>
      <c r="CP953" s="21"/>
      <c r="CQ953" s="21"/>
      <c r="CR953" s="21"/>
      <c r="CS953" s="21"/>
      <c r="CT953" s="21"/>
      <c r="CU953" s="21"/>
      <c r="CV953" s="21"/>
      <c r="CW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  <c r="BQ954" s="21"/>
      <c r="BR954" s="21"/>
      <c r="BS954" s="21"/>
      <c r="BT954" s="21"/>
      <c r="BU954" s="21"/>
      <c r="BV954" s="21"/>
      <c r="BW954" s="21"/>
      <c r="BX954" s="21"/>
      <c r="BY954" s="21"/>
      <c r="BZ954" s="21"/>
      <c r="CA954" s="21"/>
      <c r="CB954" s="21"/>
      <c r="CC954" s="21"/>
      <c r="CD954" s="21"/>
      <c r="CE954" s="21"/>
      <c r="CF954" s="21"/>
      <c r="CG954" s="21"/>
      <c r="CH954" s="21"/>
      <c r="CI954" s="21"/>
      <c r="CJ954" s="21"/>
      <c r="CK954" s="21"/>
      <c r="CL954" s="21"/>
      <c r="CM954" s="21"/>
      <c r="CN954" s="21"/>
      <c r="CO954" s="21"/>
      <c r="CP954" s="21"/>
      <c r="CQ954" s="21"/>
      <c r="CR954" s="21"/>
      <c r="CS954" s="21"/>
      <c r="CT954" s="21"/>
      <c r="CU954" s="21"/>
      <c r="CV954" s="21"/>
      <c r="CW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  <c r="BQ955" s="21"/>
      <c r="BR955" s="21"/>
      <c r="BS955" s="21"/>
      <c r="BT955" s="21"/>
      <c r="BU955" s="21"/>
      <c r="BV955" s="21"/>
      <c r="BW955" s="21"/>
      <c r="BX955" s="21"/>
      <c r="BY955" s="21"/>
      <c r="BZ955" s="21"/>
      <c r="CA955" s="21"/>
      <c r="CB955" s="21"/>
      <c r="CC955" s="21"/>
      <c r="CD955" s="21"/>
      <c r="CE955" s="21"/>
      <c r="CF955" s="21"/>
      <c r="CG955" s="21"/>
      <c r="CH955" s="21"/>
      <c r="CI955" s="21"/>
      <c r="CJ955" s="21"/>
      <c r="CK955" s="21"/>
      <c r="CL955" s="21"/>
      <c r="CM955" s="21"/>
      <c r="CN955" s="21"/>
      <c r="CO955" s="21"/>
      <c r="CP955" s="21"/>
      <c r="CQ955" s="21"/>
      <c r="CR955" s="21"/>
      <c r="CS955" s="21"/>
      <c r="CT955" s="21"/>
      <c r="CU955" s="21"/>
      <c r="CV955" s="21"/>
      <c r="CW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  <c r="BP956" s="21"/>
      <c r="BQ956" s="21"/>
      <c r="BR956" s="21"/>
      <c r="BS956" s="21"/>
      <c r="BT956" s="21"/>
      <c r="BU956" s="21"/>
      <c r="BV956" s="21"/>
      <c r="BW956" s="21"/>
      <c r="BX956" s="21"/>
      <c r="BY956" s="21"/>
      <c r="BZ956" s="21"/>
      <c r="CA956" s="21"/>
      <c r="CB956" s="21"/>
      <c r="CC956" s="21"/>
      <c r="CD956" s="21"/>
      <c r="CE956" s="21"/>
      <c r="CF956" s="21"/>
      <c r="CG956" s="21"/>
      <c r="CH956" s="21"/>
      <c r="CI956" s="21"/>
      <c r="CJ956" s="21"/>
      <c r="CK956" s="21"/>
      <c r="CL956" s="21"/>
      <c r="CM956" s="21"/>
      <c r="CN956" s="21"/>
      <c r="CO956" s="21"/>
      <c r="CP956" s="21"/>
      <c r="CQ956" s="21"/>
      <c r="CR956" s="21"/>
      <c r="CS956" s="21"/>
      <c r="CT956" s="21"/>
      <c r="CU956" s="21"/>
      <c r="CV956" s="21"/>
      <c r="CW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  <c r="BP957" s="21"/>
      <c r="BQ957" s="21"/>
      <c r="BR957" s="21"/>
      <c r="BS957" s="21"/>
      <c r="BT957" s="21"/>
      <c r="BU957" s="21"/>
      <c r="BV957" s="21"/>
      <c r="BW957" s="21"/>
      <c r="BX957" s="21"/>
      <c r="BY957" s="21"/>
      <c r="BZ957" s="21"/>
      <c r="CA957" s="21"/>
      <c r="CB957" s="21"/>
      <c r="CC957" s="21"/>
      <c r="CD957" s="21"/>
      <c r="CE957" s="21"/>
      <c r="CF957" s="21"/>
      <c r="CG957" s="21"/>
      <c r="CH957" s="21"/>
      <c r="CI957" s="21"/>
      <c r="CJ957" s="21"/>
      <c r="CK957" s="21"/>
      <c r="CL957" s="21"/>
      <c r="CM957" s="21"/>
      <c r="CN957" s="21"/>
      <c r="CO957" s="21"/>
      <c r="CP957" s="21"/>
      <c r="CQ957" s="21"/>
      <c r="CR957" s="21"/>
      <c r="CS957" s="21"/>
      <c r="CT957" s="21"/>
      <c r="CU957" s="21"/>
      <c r="CV957" s="21"/>
      <c r="CW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  <c r="BP958" s="21"/>
      <c r="BQ958" s="21"/>
      <c r="BR958" s="21"/>
      <c r="BS958" s="21"/>
      <c r="BT958" s="21"/>
      <c r="BU958" s="21"/>
      <c r="BV958" s="21"/>
      <c r="BW958" s="21"/>
      <c r="BX958" s="21"/>
      <c r="BY958" s="21"/>
      <c r="BZ958" s="21"/>
      <c r="CA958" s="21"/>
      <c r="CB958" s="21"/>
      <c r="CC958" s="21"/>
      <c r="CD958" s="21"/>
      <c r="CE958" s="21"/>
      <c r="CF958" s="21"/>
      <c r="CG958" s="21"/>
      <c r="CH958" s="21"/>
      <c r="CI958" s="21"/>
      <c r="CJ958" s="21"/>
      <c r="CK958" s="21"/>
      <c r="CL958" s="21"/>
      <c r="CM958" s="21"/>
      <c r="CN958" s="21"/>
      <c r="CO958" s="21"/>
      <c r="CP958" s="21"/>
      <c r="CQ958" s="21"/>
      <c r="CR958" s="21"/>
      <c r="CS958" s="21"/>
      <c r="CT958" s="21"/>
      <c r="CU958" s="21"/>
      <c r="CV958" s="21"/>
      <c r="CW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  <c r="BO959" s="21"/>
      <c r="BP959" s="21"/>
      <c r="BQ959" s="21"/>
      <c r="BR959" s="21"/>
      <c r="BS959" s="21"/>
      <c r="BT959" s="21"/>
      <c r="BU959" s="21"/>
      <c r="BV959" s="21"/>
      <c r="BW959" s="21"/>
      <c r="BX959" s="21"/>
      <c r="BY959" s="21"/>
      <c r="BZ959" s="21"/>
      <c r="CA959" s="21"/>
      <c r="CB959" s="21"/>
      <c r="CC959" s="21"/>
      <c r="CD959" s="21"/>
      <c r="CE959" s="21"/>
      <c r="CF959" s="21"/>
      <c r="CG959" s="21"/>
      <c r="CH959" s="21"/>
      <c r="CI959" s="21"/>
      <c r="CJ959" s="21"/>
      <c r="CK959" s="21"/>
      <c r="CL959" s="21"/>
      <c r="CM959" s="21"/>
      <c r="CN959" s="21"/>
      <c r="CO959" s="21"/>
      <c r="CP959" s="21"/>
      <c r="CQ959" s="21"/>
      <c r="CR959" s="21"/>
      <c r="CS959" s="21"/>
      <c r="CT959" s="21"/>
      <c r="CU959" s="21"/>
      <c r="CV959" s="21"/>
      <c r="CW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  <c r="BP960" s="21"/>
      <c r="BQ960" s="21"/>
      <c r="BR960" s="21"/>
      <c r="BS960" s="21"/>
      <c r="BT960" s="21"/>
      <c r="BU960" s="21"/>
      <c r="BV960" s="21"/>
      <c r="BW960" s="21"/>
      <c r="BX960" s="21"/>
      <c r="BY960" s="21"/>
      <c r="BZ960" s="21"/>
      <c r="CA960" s="21"/>
      <c r="CB960" s="21"/>
      <c r="CC960" s="21"/>
      <c r="CD960" s="21"/>
      <c r="CE960" s="21"/>
      <c r="CF960" s="21"/>
      <c r="CG960" s="21"/>
      <c r="CH960" s="21"/>
      <c r="CI960" s="21"/>
      <c r="CJ960" s="21"/>
      <c r="CK960" s="21"/>
      <c r="CL960" s="21"/>
      <c r="CM960" s="21"/>
      <c r="CN960" s="21"/>
      <c r="CO960" s="21"/>
      <c r="CP960" s="21"/>
      <c r="CQ960" s="21"/>
      <c r="CR960" s="21"/>
      <c r="CS960" s="21"/>
      <c r="CT960" s="21"/>
      <c r="CU960" s="21"/>
      <c r="CV960" s="21"/>
      <c r="CW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  <c r="BO961" s="21"/>
      <c r="BP961" s="21"/>
      <c r="BQ961" s="21"/>
      <c r="BR961" s="21"/>
      <c r="BS961" s="21"/>
      <c r="BT961" s="21"/>
      <c r="BU961" s="21"/>
      <c r="BV961" s="21"/>
      <c r="BW961" s="21"/>
      <c r="BX961" s="21"/>
      <c r="BY961" s="21"/>
      <c r="BZ961" s="21"/>
      <c r="CA961" s="21"/>
      <c r="CB961" s="21"/>
      <c r="CC961" s="21"/>
      <c r="CD961" s="21"/>
      <c r="CE961" s="21"/>
      <c r="CF961" s="21"/>
      <c r="CG961" s="21"/>
      <c r="CH961" s="21"/>
      <c r="CI961" s="21"/>
      <c r="CJ961" s="21"/>
      <c r="CK961" s="21"/>
      <c r="CL961" s="21"/>
      <c r="CM961" s="21"/>
      <c r="CN961" s="21"/>
      <c r="CO961" s="21"/>
      <c r="CP961" s="21"/>
      <c r="CQ961" s="21"/>
      <c r="CR961" s="21"/>
      <c r="CS961" s="21"/>
      <c r="CT961" s="21"/>
      <c r="CU961" s="21"/>
      <c r="CV961" s="21"/>
      <c r="CW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  <c r="BP962" s="21"/>
      <c r="BQ962" s="21"/>
      <c r="BR962" s="21"/>
      <c r="BS962" s="21"/>
      <c r="BT962" s="21"/>
      <c r="BU962" s="21"/>
      <c r="BV962" s="21"/>
      <c r="BW962" s="21"/>
      <c r="BX962" s="21"/>
      <c r="BY962" s="21"/>
      <c r="BZ962" s="21"/>
      <c r="CA962" s="21"/>
      <c r="CB962" s="21"/>
      <c r="CC962" s="21"/>
      <c r="CD962" s="21"/>
      <c r="CE962" s="21"/>
      <c r="CF962" s="21"/>
      <c r="CG962" s="21"/>
      <c r="CH962" s="21"/>
      <c r="CI962" s="21"/>
      <c r="CJ962" s="21"/>
      <c r="CK962" s="21"/>
      <c r="CL962" s="21"/>
      <c r="CM962" s="21"/>
      <c r="CN962" s="21"/>
      <c r="CO962" s="21"/>
      <c r="CP962" s="21"/>
      <c r="CQ962" s="21"/>
      <c r="CR962" s="21"/>
      <c r="CS962" s="21"/>
      <c r="CT962" s="21"/>
      <c r="CU962" s="21"/>
      <c r="CV962" s="21"/>
      <c r="CW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  <c r="BP963" s="21"/>
      <c r="BQ963" s="21"/>
      <c r="BR963" s="21"/>
      <c r="BS963" s="21"/>
      <c r="BT963" s="21"/>
      <c r="BU963" s="21"/>
      <c r="BV963" s="21"/>
      <c r="BW963" s="21"/>
      <c r="BX963" s="21"/>
      <c r="BY963" s="21"/>
      <c r="BZ963" s="21"/>
      <c r="CA963" s="21"/>
      <c r="CB963" s="21"/>
      <c r="CC963" s="21"/>
      <c r="CD963" s="21"/>
      <c r="CE963" s="21"/>
      <c r="CF963" s="21"/>
      <c r="CG963" s="21"/>
      <c r="CH963" s="21"/>
      <c r="CI963" s="21"/>
      <c r="CJ963" s="21"/>
      <c r="CK963" s="21"/>
      <c r="CL963" s="21"/>
      <c r="CM963" s="21"/>
      <c r="CN963" s="21"/>
      <c r="CO963" s="21"/>
      <c r="CP963" s="21"/>
      <c r="CQ963" s="21"/>
      <c r="CR963" s="21"/>
      <c r="CS963" s="21"/>
      <c r="CT963" s="21"/>
      <c r="CU963" s="21"/>
      <c r="CV963" s="21"/>
      <c r="CW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  <c r="BQ964" s="21"/>
      <c r="BR964" s="21"/>
      <c r="BS964" s="21"/>
      <c r="BT964" s="21"/>
      <c r="BU964" s="21"/>
      <c r="BV964" s="21"/>
      <c r="BW964" s="21"/>
      <c r="BX964" s="21"/>
      <c r="BY964" s="21"/>
      <c r="BZ964" s="21"/>
      <c r="CA964" s="21"/>
      <c r="CB964" s="21"/>
      <c r="CC964" s="21"/>
      <c r="CD964" s="21"/>
      <c r="CE964" s="21"/>
      <c r="CF964" s="21"/>
      <c r="CG964" s="21"/>
      <c r="CH964" s="21"/>
      <c r="CI964" s="21"/>
      <c r="CJ964" s="21"/>
      <c r="CK964" s="21"/>
      <c r="CL964" s="21"/>
      <c r="CM964" s="21"/>
      <c r="CN964" s="21"/>
      <c r="CO964" s="21"/>
      <c r="CP964" s="21"/>
      <c r="CQ964" s="21"/>
      <c r="CR964" s="21"/>
      <c r="CS964" s="21"/>
      <c r="CT964" s="21"/>
      <c r="CU964" s="21"/>
      <c r="CV964" s="21"/>
      <c r="CW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  <c r="BQ965" s="21"/>
      <c r="BR965" s="21"/>
      <c r="BS965" s="21"/>
      <c r="BT965" s="21"/>
      <c r="BU965" s="21"/>
      <c r="BV965" s="21"/>
      <c r="BW965" s="21"/>
      <c r="BX965" s="21"/>
      <c r="BY965" s="21"/>
      <c r="BZ965" s="21"/>
      <c r="CA965" s="21"/>
      <c r="CB965" s="21"/>
      <c r="CC965" s="21"/>
      <c r="CD965" s="21"/>
      <c r="CE965" s="21"/>
      <c r="CF965" s="21"/>
      <c r="CG965" s="21"/>
      <c r="CH965" s="21"/>
      <c r="CI965" s="21"/>
      <c r="CJ965" s="21"/>
      <c r="CK965" s="21"/>
      <c r="CL965" s="21"/>
      <c r="CM965" s="21"/>
      <c r="CN965" s="21"/>
      <c r="CO965" s="21"/>
      <c r="CP965" s="21"/>
      <c r="CQ965" s="21"/>
      <c r="CR965" s="21"/>
      <c r="CS965" s="21"/>
      <c r="CT965" s="21"/>
      <c r="CU965" s="21"/>
      <c r="CV965" s="21"/>
      <c r="CW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  <c r="BP966" s="21"/>
      <c r="BQ966" s="21"/>
      <c r="BR966" s="21"/>
      <c r="BS966" s="21"/>
      <c r="BT966" s="21"/>
      <c r="BU966" s="21"/>
      <c r="BV966" s="21"/>
      <c r="BW966" s="21"/>
      <c r="BX966" s="21"/>
      <c r="BY966" s="21"/>
      <c r="BZ966" s="21"/>
      <c r="CA966" s="21"/>
      <c r="CB966" s="21"/>
      <c r="CC966" s="21"/>
      <c r="CD966" s="21"/>
      <c r="CE966" s="21"/>
      <c r="CF966" s="21"/>
      <c r="CG966" s="21"/>
      <c r="CH966" s="21"/>
      <c r="CI966" s="21"/>
      <c r="CJ966" s="21"/>
      <c r="CK966" s="21"/>
      <c r="CL966" s="21"/>
      <c r="CM966" s="21"/>
      <c r="CN966" s="21"/>
      <c r="CO966" s="21"/>
      <c r="CP966" s="21"/>
      <c r="CQ966" s="21"/>
      <c r="CR966" s="21"/>
      <c r="CS966" s="21"/>
      <c r="CT966" s="21"/>
      <c r="CU966" s="21"/>
      <c r="CV966" s="21"/>
      <c r="CW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  <c r="BP967" s="21"/>
      <c r="BQ967" s="21"/>
      <c r="BR967" s="21"/>
      <c r="BS967" s="21"/>
      <c r="BT967" s="21"/>
      <c r="BU967" s="21"/>
      <c r="BV967" s="21"/>
      <c r="BW967" s="21"/>
      <c r="BX967" s="21"/>
      <c r="BY967" s="21"/>
      <c r="BZ967" s="21"/>
      <c r="CA967" s="21"/>
      <c r="CB967" s="21"/>
      <c r="CC967" s="21"/>
      <c r="CD967" s="21"/>
      <c r="CE967" s="21"/>
      <c r="CF967" s="21"/>
      <c r="CG967" s="21"/>
      <c r="CH967" s="21"/>
      <c r="CI967" s="21"/>
      <c r="CJ967" s="21"/>
      <c r="CK967" s="21"/>
      <c r="CL967" s="21"/>
      <c r="CM967" s="21"/>
      <c r="CN967" s="21"/>
      <c r="CO967" s="21"/>
      <c r="CP967" s="21"/>
      <c r="CQ967" s="21"/>
      <c r="CR967" s="21"/>
      <c r="CS967" s="21"/>
      <c r="CT967" s="21"/>
      <c r="CU967" s="21"/>
      <c r="CV967" s="21"/>
      <c r="CW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/>
      <c r="BQ968" s="21"/>
      <c r="BR968" s="21"/>
      <c r="BS968" s="21"/>
      <c r="BT968" s="21"/>
      <c r="BU968" s="21"/>
      <c r="BV968" s="21"/>
      <c r="BW968" s="21"/>
      <c r="BX968" s="21"/>
      <c r="BY968" s="21"/>
      <c r="BZ968" s="21"/>
      <c r="CA968" s="21"/>
      <c r="CB968" s="21"/>
      <c r="CC968" s="21"/>
      <c r="CD968" s="21"/>
      <c r="CE968" s="21"/>
      <c r="CF968" s="21"/>
      <c r="CG968" s="21"/>
      <c r="CH968" s="21"/>
      <c r="CI968" s="21"/>
      <c r="CJ968" s="21"/>
      <c r="CK968" s="21"/>
      <c r="CL968" s="21"/>
      <c r="CM968" s="21"/>
      <c r="CN968" s="21"/>
      <c r="CO968" s="21"/>
      <c r="CP968" s="21"/>
      <c r="CQ968" s="21"/>
      <c r="CR968" s="21"/>
      <c r="CS968" s="21"/>
      <c r="CT968" s="21"/>
      <c r="CU968" s="21"/>
      <c r="CV968" s="21"/>
      <c r="CW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  <c r="BQ969" s="21"/>
      <c r="BR969" s="21"/>
      <c r="BS969" s="21"/>
      <c r="BT969" s="21"/>
      <c r="BU969" s="21"/>
      <c r="BV969" s="21"/>
      <c r="BW969" s="21"/>
      <c r="BX969" s="21"/>
      <c r="BY969" s="21"/>
      <c r="BZ969" s="21"/>
      <c r="CA969" s="21"/>
      <c r="CB969" s="21"/>
      <c r="CC969" s="21"/>
      <c r="CD969" s="21"/>
      <c r="CE969" s="21"/>
      <c r="CF969" s="21"/>
      <c r="CG969" s="21"/>
      <c r="CH969" s="21"/>
      <c r="CI969" s="21"/>
      <c r="CJ969" s="21"/>
      <c r="CK969" s="21"/>
      <c r="CL969" s="21"/>
      <c r="CM969" s="21"/>
      <c r="CN969" s="21"/>
      <c r="CO969" s="21"/>
      <c r="CP969" s="21"/>
      <c r="CQ969" s="21"/>
      <c r="CR969" s="21"/>
      <c r="CS969" s="21"/>
      <c r="CT969" s="21"/>
      <c r="CU969" s="21"/>
      <c r="CV969" s="21"/>
      <c r="CW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  <c r="BP970" s="21"/>
      <c r="BQ970" s="21"/>
      <c r="BR970" s="21"/>
      <c r="BS970" s="21"/>
      <c r="BT970" s="21"/>
      <c r="BU970" s="21"/>
      <c r="BV970" s="21"/>
      <c r="BW970" s="21"/>
      <c r="BX970" s="21"/>
      <c r="BY970" s="21"/>
      <c r="BZ970" s="21"/>
      <c r="CA970" s="21"/>
      <c r="CB970" s="21"/>
      <c r="CC970" s="21"/>
      <c r="CD970" s="21"/>
      <c r="CE970" s="21"/>
      <c r="CF970" s="21"/>
      <c r="CG970" s="21"/>
      <c r="CH970" s="21"/>
      <c r="CI970" s="21"/>
      <c r="CJ970" s="21"/>
      <c r="CK970" s="21"/>
      <c r="CL970" s="21"/>
      <c r="CM970" s="21"/>
      <c r="CN970" s="21"/>
      <c r="CO970" s="21"/>
      <c r="CP970" s="21"/>
      <c r="CQ970" s="21"/>
      <c r="CR970" s="21"/>
      <c r="CS970" s="21"/>
      <c r="CT970" s="21"/>
      <c r="CU970" s="21"/>
      <c r="CV970" s="21"/>
      <c r="CW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  <c r="BP971" s="21"/>
      <c r="BQ971" s="21"/>
      <c r="BR971" s="21"/>
      <c r="BS971" s="21"/>
      <c r="BT971" s="21"/>
      <c r="BU971" s="21"/>
      <c r="BV971" s="21"/>
      <c r="BW971" s="21"/>
      <c r="BX971" s="21"/>
      <c r="BY971" s="21"/>
      <c r="BZ971" s="21"/>
      <c r="CA971" s="21"/>
      <c r="CB971" s="21"/>
      <c r="CC971" s="21"/>
      <c r="CD971" s="21"/>
      <c r="CE971" s="21"/>
      <c r="CF971" s="21"/>
      <c r="CG971" s="21"/>
      <c r="CH971" s="21"/>
      <c r="CI971" s="21"/>
      <c r="CJ971" s="21"/>
      <c r="CK971" s="21"/>
      <c r="CL971" s="21"/>
      <c r="CM971" s="21"/>
      <c r="CN971" s="21"/>
      <c r="CO971" s="21"/>
      <c r="CP971" s="21"/>
      <c r="CQ971" s="21"/>
      <c r="CR971" s="21"/>
      <c r="CS971" s="21"/>
      <c r="CT971" s="21"/>
      <c r="CU971" s="21"/>
      <c r="CV971" s="21"/>
      <c r="CW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  <c r="BP972" s="21"/>
      <c r="BQ972" s="21"/>
      <c r="BR972" s="21"/>
      <c r="BS972" s="21"/>
      <c r="BT972" s="21"/>
      <c r="BU972" s="21"/>
      <c r="BV972" s="21"/>
      <c r="BW972" s="21"/>
      <c r="BX972" s="21"/>
      <c r="BY972" s="21"/>
      <c r="BZ972" s="21"/>
      <c r="CA972" s="21"/>
      <c r="CB972" s="21"/>
      <c r="CC972" s="21"/>
      <c r="CD972" s="21"/>
      <c r="CE972" s="21"/>
      <c r="CF972" s="21"/>
      <c r="CG972" s="21"/>
      <c r="CH972" s="21"/>
      <c r="CI972" s="21"/>
      <c r="CJ972" s="21"/>
      <c r="CK972" s="21"/>
      <c r="CL972" s="21"/>
      <c r="CM972" s="21"/>
      <c r="CN972" s="21"/>
      <c r="CO972" s="21"/>
      <c r="CP972" s="21"/>
      <c r="CQ972" s="21"/>
      <c r="CR972" s="21"/>
      <c r="CS972" s="21"/>
      <c r="CT972" s="21"/>
      <c r="CU972" s="21"/>
      <c r="CV972" s="21"/>
      <c r="CW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  <c r="BO973" s="21"/>
      <c r="BP973" s="21"/>
      <c r="BQ973" s="21"/>
      <c r="BR973" s="21"/>
      <c r="BS973" s="21"/>
      <c r="BT973" s="21"/>
      <c r="BU973" s="21"/>
      <c r="BV973" s="21"/>
      <c r="BW973" s="21"/>
      <c r="BX973" s="21"/>
      <c r="BY973" s="21"/>
      <c r="BZ973" s="21"/>
      <c r="CA973" s="21"/>
      <c r="CB973" s="21"/>
      <c r="CC973" s="21"/>
      <c r="CD973" s="21"/>
      <c r="CE973" s="21"/>
      <c r="CF973" s="21"/>
      <c r="CG973" s="21"/>
      <c r="CH973" s="21"/>
      <c r="CI973" s="21"/>
      <c r="CJ973" s="21"/>
      <c r="CK973" s="21"/>
      <c r="CL973" s="21"/>
      <c r="CM973" s="21"/>
      <c r="CN973" s="21"/>
      <c r="CO973" s="21"/>
      <c r="CP973" s="21"/>
      <c r="CQ973" s="21"/>
      <c r="CR973" s="21"/>
      <c r="CS973" s="21"/>
      <c r="CT973" s="21"/>
      <c r="CU973" s="21"/>
      <c r="CV973" s="21"/>
      <c r="CW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  <c r="BO974" s="21"/>
      <c r="BP974" s="21"/>
      <c r="BQ974" s="21"/>
      <c r="BR974" s="21"/>
      <c r="BS974" s="21"/>
      <c r="BT974" s="21"/>
      <c r="BU974" s="21"/>
      <c r="BV974" s="21"/>
      <c r="BW974" s="21"/>
      <c r="BX974" s="21"/>
      <c r="BY974" s="21"/>
      <c r="BZ974" s="21"/>
      <c r="CA974" s="21"/>
      <c r="CB974" s="21"/>
      <c r="CC974" s="21"/>
      <c r="CD974" s="21"/>
      <c r="CE974" s="21"/>
      <c r="CF974" s="21"/>
      <c r="CG974" s="21"/>
      <c r="CH974" s="21"/>
      <c r="CI974" s="21"/>
      <c r="CJ974" s="21"/>
      <c r="CK974" s="21"/>
      <c r="CL974" s="21"/>
      <c r="CM974" s="21"/>
      <c r="CN974" s="21"/>
      <c r="CO974" s="21"/>
      <c r="CP974" s="21"/>
      <c r="CQ974" s="21"/>
      <c r="CR974" s="21"/>
      <c r="CS974" s="21"/>
      <c r="CT974" s="21"/>
      <c r="CU974" s="21"/>
      <c r="CV974" s="21"/>
      <c r="CW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  <c r="BP975" s="21"/>
      <c r="BQ975" s="21"/>
      <c r="BR975" s="21"/>
      <c r="BS975" s="21"/>
      <c r="BT975" s="21"/>
      <c r="BU975" s="21"/>
      <c r="BV975" s="21"/>
      <c r="BW975" s="21"/>
      <c r="BX975" s="21"/>
      <c r="BY975" s="21"/>
      <c r="BZ975" s="21"/>
      <c r="CA975" s="21"/>
      <c r="CB975" s="21"/>
      <c r="CC975" s="21"/>
      <c r="CD975" s="21"/>
      <c r="CE975" s="21"/>
      <c r="CF975" s="21"/>
      <c r="CG975" s="21"/>
      <c r="CH975" s="21"/>
      <c r="CI975" s="21"/>
      <c r="CJ975" s="21"/>
      <c r="CK975" s="21"/>
      <c r="CL975" s="21"/>
      <c r="CM975" s="21"/>
      <c r="CN975" s="21"/>
      <c r="CO975" s="21"/>
      <c r="CP975" s="21"/>
      <c r="CQ975" s="21"/>
      <c r="CR975" s="21"/>
      <c r="CS975" s="21"/>
      <c r="CT975" s="21"/>
      <c r="CU975" s="21"/>
      <c r="CV975" s="21"/>
      <c r="CW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  <c r="BP976" s="21"/>
      <c r="BQ976" s="21"/>
      <c r="BR976" s="21"/>
      <c r="BS976" s="21"/>
      <c r="BT976" s="21"/>
      <c r="BU976" s="21"/>
      <c r="BV976" s="21"/>
      <c r="BW976" s="21"/>
      <c r="BX976" s="21"/>
      <c r="BY976" s="21"/>
      <c r="BZ976" s="21"/>
      <c r="CA976" s="21"/>
      <c r="CB976" s="21"/>
      <c r="CC976" s="21"/>
      <c r="CD976" s="21"/>
      <c r="CE976" s="21"/>
      <c r="CF976" s="21"/>
      <c r="CG976" s="21"/>
      <c r="CH976" s="21"/>
      <c r="CI976" s="21"/>
      <c r="CJ976" s="21"/>
      <c r="CK976" s="21"/>
      <c r="CL976" s="21"/>
      <c r="CM976" s="21"/>
      <c r="CN976" s="21"/>
      <c r="CO976" s="21"/>
      <c r="CP976" s="21"/>
      <c r="CQ976" s="21"/>
      <c r="CR976" s="21"/>
      <c r="CS976" s="21"/>
      <c r="CT976" s="21"/>
      <c r="CU976" s="21"/>
      <c r="CV976" s="21"/>
      <c r="CW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  <c r="BP977" s="21"/>
      <c r="BQ977" s="21"/>
      <c r="BR977" s="21"/>
      <c r="BS977" s="21"/>
      <c r="BT977" s="21"/>
      <c r="BU977" s="21"/>
      <c r="BV977" s="21"/>
      <c r="BW977" s="21"/>
      <c r="BX977" s="21"/>
      <c r="BY977" s="21"/>
      <c r="BZ977" s="21"/>
      <c r="CA977" s="21"/>
      <c r="CB977" s="21"/>
      <c r="CC977" s="21"/>
      <c r="CD977" s="21"/>
      <c r="CE977" s="21"/>
      <c r="CF977" s="21"/>
      <c r="CG977" s="21"/>
      <c r="CH977" s="21"/>
      <c r="CI977" s="21"/>
      <c r="CJ977" s="21"/>
      <c r="CK977" s="21"/>
      <c r="CL977" s="21"/>
      <c r="CM977" s="21"/>
      <c r="CN977" s="21"/>
      <c r="CO977" s="21"/>
      <c r="CP977" s="21"/>
      <c r="CQ977" s="21"/>
      <c r="CR977" s="21"/>
      <c r="CS977" s="21"/>
      <c r="CT977" s="21"/>
      <c r="CU977" s="21"/>
      <c r="CV977" s="21"/>
      <c r="CW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  <c r="BP978" s="21"/>
      <c r="BQ978" s="21"/>
      <c r="BR978" s="21"/>
      <c r="BS978" s="21"/>
      <c r="BT978" s="21"/>
      <c r="BU978" s="21"/>
      <c r="BV978" s="21"/>
      <c r="BW978" s="21"/>
      <c r="BX978" s="21"/>
      <c r="BY978" s="21"/>
      <c r="BZ978" s="21"/>
      <c r="CA978" s="21"/>
      <c r="CB978" s="21"/>
      <c r="CC978" s="21"/>
      <c r="CD978" s="21"/>
      <c r="CE978" s="21"/>
      <c r="CF978" s="21"/>
      <c r="CG978" s="21"/>
      <c r="CH978" s="21"/>
      <c r="CI978" s="21"/>
      <c r="CJ978" s="21"/>
      <c r="CK978" s="21"/>
      <c r="CL978" s="21"/>
      <c r="CM978" s="21"/>
      <c r="CN978" s="21"/>
      <c r="CO978" s="21"/>
      <c r="CP978" s="21"/>
      <c r="CQ978" s="21"/>
      <c r="CR978" s="21"/>
      <c r="CS978" s="21"/>
      <c r="CT978" s="21"/>
      <c r="CU978" s="21"/>
      <c r="CV978" s="21"/>
      <c r="CW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  <c r="BP979" s="21"/>
      <c r="BQ979" s="21"/>
      <c r="BR979" s="21"/>
      <c r="BS979" s="21"/>
      <c r="BT979" s="21"/>
      <c r="BU979" s="21"/>
      <c r="BV979" s="21"/>
      <c r="BW979" s="21"/>
      <c r="BX979" s="21"/>
      <c r="BY979" s="21"/>
      <c r="BZ979" s="21"/>
      <c r="CA979" s="21"/>
      <c r="CB979" s="21"/>
      <c r="CC979" s="21"/>
      <c r="CD979" s="21"/>
      <c r="CE979" s="21"/>
      <c r="CF979" s="21"/>
      <c r="CG979" s="21"/>
      <c r="CH979" s="21"/>
      <c r="CI979" s="21"/>
      <c r="CJ979" s="21"/>
      <c r="CK979" s="21"/>
      <c r="CL979" s="21"/>
      <c r="CM979" s="21"/>
      <c r="CN979" s="21"/>
      <c r="CO979" s="21"/>
      <c r="CP979" s="21"/>
      <c r="CQ979" s="21"/>
      <c r="CR979" s="21"/>
      <c r="CS979" s="21"/>
      <c r="CT979" s="21"/>
      <c r="CU979" s="21"/>
      <c r="CV979" s="21"/>
      <c r="CW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21"/>
      <c r="BQ980" s="21"/>
      <c r="BR980" s="21"/>
      <c r="BS980" s="21"/>
      <c r="BT980" s="21"/>
      <c r="BU980" s="21"/>
      <c r="BV980" s="21"/>
      <c r="BW980" s="21"/>
      <c r="BX980" s="21"/>
      <c r="BY980" s="21"/>
      <c r="BZ980" s="21"/>
      <c r="CA980" s="21"/>
      <c r="CB980" s="21"/>
      <c r="CC980" s="21"/>
      <c r="CD980" s="21"/>
      <c r="CE980" s="21"/>
      <c r="CF980" s="21"/>
      <c r="CG980" s="21"/>
      <c r="CH980" s="21"/>
      <c r="CI980" s="21"/>
      <c r="CJ980" s="21"/>
      <c r="CK980" s="21"/>
      <c r="CL980" s="21"/>
      <c r="CM980" s="21"/>
      <c r="CN980" s="21"/>
      <c r="CO980" s="21"/>
      <c r="CP980" s="21"/>
      <c r="CQ980" s="21"/>
      <c r="CR980" s="21"/>
      <c r="CS980" s="21"/>
      <c r="CT980" s="21"/>
      <c r="CU980" s="21"/>
      <c r="CV980" s="21"/>
      <c r="CW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  <c r="BP981" s="21"/>
      <c r="BQ981" s="21"/>
      <c r="BR981" s="21"/>
      <c r="BS981" s="21"/>
      <c r="BT981" s="21"/>
      <c r="BU981" s="21"/>
      <c r="BV981" s="21"/>
      <c r="BW981" s="21"/>
      <c r="BX981" s="21"/>
      <c r="BY981" s="21"/>
      <c r="BZ981" s="21"/>
      <c r="CA981" s="21"/>
      <c r="CB981" s="21"/>
      <c r="CC981" s="21"/>
      <c r="CD981" s="21"/>
      <c r="CE981" s="21"/>
      <c r="CF981" s="21"/>
      <c r="CG981" s="21"/>
      <c r="CH981" s="21"/>
      <c r="CI981" s="21"/>
      <c r="CJ981" s="21"/>
      <c r="CK981" s="21"/>
      <c r="CL981" s="21"/>
      <c r="CM981" s="21"/>
      <c r="CN981" s="21"/>
      <c r="CO981" s="21"/>
      <c r="CP981" s="21"/>
      <c r="CQ981" s="21"/>
      <c r="CR981" s="21"/>
      <c r="CS981" s="21"/>
      <c r="CT981" s="21"/>
      <c r="CU981" s="21"/>
      <c r="CV981" s="21"/>
      <c r="CW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  <c r="BP982" s="21"/>
      <c r="BQ982" s="21"/>
      <c r="BR982" s="21"/>
      <c r="BS982" s="21"/>
      <c r="BT982" s="21"/>
      <c r="BU982" s="21"/>
      <c r="BV982" s="21"/>
      <c r="BW982" s="21"/>
      <c r="BX982" s="21"/>
      <c r="BY982" s="21"/>
      <c r="BZ982" s="21"/>
      <c r="CA982" s="21"/>
      <c r="CB982" s="21"/>
      <c r="CC982" s="21"/>
      <c r="CD982" s="21"/>
      <c r="CE982" s="21"/>
      <c r="CF982" s="21"/>
      <c r="CG982" s="21"/>
      <c r="CH982" s="21"/>
      <c r="CI982" s="21"/>
      <c r="CJ982" s="21"/>
      <c r="CK982" s="21"/>
      <c r="CL982" s="21"/>
      <c r="CM982" s="21"/>
      <c r="CN982" s="21"/>
      <c r="CO982" s="21"/>
      <c r="CP982" s="21"/>
      <c r="CQ982" s="21"/>
      <c r="CR982" s="21"/>
      <c r="CS982" s="21"/>
      <c r="CT982" s="21"/>
      <c r="CU982" s="21"/>
      <c r="CV982" s="21"/>
      <c r="CW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  <c r="BP983" s="21"/>
      <c r="BQ983" s="21"/>
      <c r="BR983" s="21"/>
      <c r="BS983" s="21"/>
      <c r="BT983" s="21"/>
      <c r="BU983" s="21"/>
      <c r="BV983" s="21"/>
      <c r="BW983" s="21"/>
      <c r="BX983" s="21"/>
      <c r="BY983" s="21"/>
      <c r="BZ983" s="21"/>
      <c r="CA983" s="21"/>
      <c r="CB983" s="21"/>
      <c r="CC983" s="21"/>
      <c r="CD983" s="21"/>
      <c r="CE983" s="21"/>
      <c r="CF983" s="21"/>
      <c r="CG983" s="21"/>
      <c r="CH983" s="21"/>
      <c r="CI983" s="21"/>
      <c r="CJ983" s="21"/>
      <c r="CK983" s="21"/>
      <c r="CL983" s="21"/>
      <c r="CM983" s="21"/>
      <c r="CN983" s="21"/>
      <c r="CO983" s="21"/>
      <c r="CP983" s="21"/>
      <c r="CQ983" s="21"/>
      <c r="CR983" s="21"/>
      <c r="CS983" s="21"/>
      <c r="CT983" s="21"/>
      <c r="CU983" s="21"/>
      <c r="CV983" s="21"/>
      <c r="CW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  <c r="BP984" s="21"/>
      <c r="BQ984" s="21"/>
      <c r="BR984" s="21"/>
      <c r="BS984" s="21"/>
      <c r="BT984" s="21"/>
      <c r="BU984" s="21"/>
      <c r="BV984" s="21"/>
      <c r="BW984" s="21"/>
      <c r="BX984" s="21"/>
      <c r="BY984" s="21"/>
      <c r="BZ984" s="21"/>
      <c r="CA984" s="21"/>
      <c r="CB984" s="21"/>
      <c r="CC984" s="21"/>
      <c r="CD984" s="21"/>
      <c r="CE984" s="21"/>
      <c r="CF984" s="21"/>
      <c r="CG984" s="21"/>
      <c r="CH984" s="21"/>
      <c r="CI984" s="21"/>
      <c r="CJ984" s="21"/>
      <c r="CK984" s="21"/>
      <c r="CL984" s="21"/>
      <c r="CM984" s="21"/>
      <c r="CN984" s="21"/>
      <c r="CO984" s="21"/>
      <c r="CP984" s="21"/>
      <c r="CQ984" s="21"/>
      <c r="CR984" s="21"/>
      <c r="CS984" s="21"/>
      <c r="CT984" s="21"/>
      <c r="CU984" s="21"/>
      <c r="CV984" s="21"/>
      <c r="CW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  <c r="BQ985" s="21"/>
      <c r="BR985" s="21"/>
      <c r="BS985" s="21"/>
      <c r="BT985" s="21"/>
      <c r="BU985" s="21"/>
      <c r="BV985" s="21"/>
      <c r="BW985" s="21"/>
      <c r="BX985" s="21"/>
      <c r="BY985" s="21"/>
      <c r="BZ985" s="21"/>
      <c r="CA985" s="21"/>
      <c r="CB985" s="21"/>
      <c r="CC985" s="21"/>
      <c r="CD985" s="21"/>
      <c r="CE985" s="21"/>
      <c r="CF985" s="21"/>
      <c r="CG985" s="21"/>
      <c r="CH985" s="21"/>
      <c r="CI985" s="21"/>
      <c r="CJ985" s="21"/>
      <c r="CK985" s="21"/>
      <c r="CL985" s="21"/>
      <c r="CM985" s="21"/>
      <c r="CN985" s="21"/>
      <c r="CO985" s="21"/>
      <c r="CP985" s="21"/>
      <c r="CQ985" s="21"/>
      <c r="CR985" s="21"/>
      <c r="CS985" s="21"/>
      <c r="CT985" s="21"/>
      <c r="CU985" s="21"/>
      <c r="CV985" s="21"/>
      <c r="CW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  <c r="BP986" s="21"/>
      <c r="BQ986" s="21"/>
      <c r="BR986" s="21"/>
      <c r="BS986" s="21"/>
      <c r="BT986" s="21"/>
      <c r="BU986" s="21"/>
      <c r="BV986" s="21"/>
      <c r="BW986" s="21"/>
      <c r="BX986" s="21"/>
      <c r="BY986" s="21"/>
      <c r="BZ986" s="21"/>
      <c r="CA986" s="21"/>
      <c r="CB986" s="21"/>
      <c r="CC986" s="21"/>
      <c r="CD986" s="21"/>
      <c r="CE986" s="21"/>
      <c r="CF986" s="21"/>
      <c r="CG986" s="21"/>
      <c r="CH986" s="21"/>
      <c r="CI986" s="21"/>
      <c r="CJ986" s="21"/>
      <c r="CK986" s="21"/>
      <c r="CL986" s="21"/>
      <c r="CM986" s="21"/>
      <c r="CN986" s="21"/>
      <c r="CO986" s="21"/>
      <c r="CP986" s="21"/>
      <c r="CQ986" s="21"/>
      <c r="CR986" s="21"/>
      <c r="CS986" s="21"/>
      <c r="CT986" s="21"/>
      <c r="CU986" s="21"/>
      <c r="CV986" s="21"/>
      <c r="CW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  <c r="BQ987" s="21"/>
      <c r="BR987" s="21"/>
      <c r="BS987" s="21"/>
      <c r="BT987" s="21"/>
      <c r="BU987" s="21"/>
      <c r="BV987" s="21"/>
      <c r="BW987" s="21"/>
      <c r="BX987" s="21"/>
      <c r="BY987" s="21"/>
      <c r="BZ987" s="21"/>
      <c r="CA987" s="21"/>
      <c r="CB987" s="21"/>
      <c r="CC987" s="21"/>
      <c r="CD987" s="21"/>
      <c r="CE987" s="21"/>
      <c r="CF987" s="21"/>
      <c r="CG987" s="21"/>
      <c r="CH987" s="21"/>
      <c r="CI987" s="21"/>
      <c r="CJ987" s="21"/>
      <c r="CK987" s="21"/>
      <c r="CL987" s="21"/>
      <c r="CM987" s="21"/>
      <c r="CN987" s="21"/>
      <c r="CO987" s="21"/>
      <c r="CP987" s="21"/>
      <c r="CQ987" s="21"/>
      <c r="CR987" s="21"/>
      <c r="CS987" s="21"/>
      <c r="CT987" s="21"/>
      <c r="CU987" s="21"/>
      <c r="CV987" s="21"/>
      <c r="CW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  <c r="BP988" s="21"/>
      <c r="BQ988" s="21"/>
      <c r="BR988" s="21"/>
      <c r="BS988" s="21"/>
      <c r="BT988" s="21"/>
      <c r="BU988" s="21"/>
      <c r="BV988" s="21"/>
      <c r="BW988" s="21"/>
      <c r="BX988" s="21"/>
      <c r="BY988" s="21"/>
      <c r="BZ988" s="21"/>
      <c r="CA988" s="21"/>
      <c r="CB988" s="21"/>
      <c r="CC988" s="21"/>
      <c r="CD988" s="21"/>
      <c r="CE988" s="21"/>
      <c r="CF988" s="21"/>
      <c r="CG988" s="21"/>
      <c r="CH988" s="21"/>
      <c r="CI988" s="21"/>
      <c r="CJ988" s="21"/>
      <c r="CK988" s="21"/>
      <c r="CL988" s="21"/>
      <c r="CM988" s="21"/>
      <c r="CN988" s="21"/>
      <c r="CO988" s="21"/>
      <c r="CP988" s="21"/>
      <c r="CQ988" s="21"/>
      <c r="CR988" s="21"/>
      <c r="CS988" s="21"/>
      <c r="CT988" s="21"/>
      <c r="CU988" s="21"/>
      <c r="CV988" s="21"/>
      <c r="CW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  <c r="BP989" s="21"/>
      <c r="BQ989" s="21"/>
      <c r="BR989" s="21"/>
      <c r="BS989" s="21"/>
      <c r="BT989" s="21"/>
      <c r="BU989" s="21"/>
      <c r="BV989" s="21"/>
      <c r="BW989" s="21"/>
      <c r="BX989" s="21"/>
      <c r="BY989" s="21"/>
      <c r="BZ989" s="21"/>
      <c r="CA989" s="21"/>
      <c r="CB989" s="21"/>
      <c r="CC989" s="21"/>
      <c r="CD989" s="21"/>
      <c r="CE989" s="21"/>
      <c r="CF989" s="21"/>
      <c r="CG989" s="21"/>
      <c r="CH989" s="21"/>
      <c r="CI989" s="21"/>
      <c r="CJ989" s="21"/>
      <c r="CK989" s="21"/>
      <c r="CL989" s="21"/>
      <c r="CM989" s="21"/>
      <c r="CN989" s="21"/>
      <c r="CO989" s="21"/>
      <c r="CP989" s="21"/>
      <c r="CQ989" s="21"/>
      <c r="CR989" s="21"/>
      <c r="CS989" s="21"/>
      <c r="CT989" s="21"/>
      <c r="CU989" s="21"/>
      <c r="CV989" s="21"/>
      <c r="CW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  <c r="BP990" s="21"/>
      <c r="BQ990" s="21"/>
      <c r="BR990" s="21"/>
      <c r="BS990" s="21"/>
      <c r="BT990" s="21"/>
      <c r="BU990" s="21"/>
      <c r="BV990" s="21"/>
      <c r="BW990" s="21"/>
      <c r="BX990" s="21"/>
      <c r="BY990" s="21"/>
      <c r="BZ990" s="21"/>
      <c r="CA990" s="21"/>
      <c r="CB990" s="21"/>
      <c r="CC990" s="21"/>
      <c r="CD990" s="21"/>
      <c r="CE990" s="21"/>
      <c r="CF990" s="21"/>
      <c r="CG990" s="21"/>
      <c r="CH990" s="21"/>
      <c r="CI990" s="21"/>
      <c r="CJ990" s="21"/>
      <c r="CK990" s="21"/>
      <c r="CL990" s="21"/>
      <c r="CM990" s="21"/>
      <c r="CN990" s="21"/>
      <c r="CO990" s="21"/>
      <c r="CP990" s="21"/>
      <c r="CQ990" s="21"/>
      <c r="CR990" s="21"/>
      <c r="CS990" s="21"/>
      <c r="CT990" s="21"/>
      <c r="CU990" s="21"/>
      <c r="CV990" s="21"/>
      <c r="CW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  <c r="BP991" s="21"/>
      <c r="BQ991" s="21"/>
      <c r="BR991" s="21"/>
      <c r="BS991" s="21"/>
      <c r="BT991" s="21"/>
      <c r="BU991" s="21"/>
      <c r="BV991" s="21"/>
      <c r="BW991" s="21"/>
      <c r="BX991" s="21"/>
      <c r="BY991" s="21"/>
      <c r="BZ991" s="21"/>
      <c r="CA991" s="21"/>
      <c r="CB991" s="21"/>
      <c r="CC991" s="21"/>
      <c r="CD991" s="21"/>
      <c r="CE991" s="21"/>
      <c r="CF991" s="21"/>
      <c r="CG991" s="21"/>
      <c r="CH991" s="21"/>
      <c r="CI991" s="21"/>
      <c r="CJ991" s="21"/>
      <c r="CK991" s="21"/>
      <c r="CL991" s="21"/>
      <c r="CM991" s="21"/>
      <c r="CN991" s="21"/>
      <c r="CO991" s="21"/>
      <c r="CP991" s="21"/>
      <c r="CQ991" s="21"/>
      <c r="CR991" s="21"/>
      <c r="CS991" s="21"/>
      <c r="CT991" s="21"/>
      <c r="CU991" s="21"/>
      <c r="CV991" s="21"/>
      <c r="CW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  <c r="BP992" s="21"/>
      <c r="BQ992" s="21"/>
      <c r="BR992" s="21"/>
      <c r="BS992" s="21"/>
      <c r="BT992" s="21"/>
      <c r="BU992" s="21"/>
      <c r="BV992" s="21"/>
      <c r="BW992" s="21"/>
      <c r="BX992" s="21"/>
      <c r="BY992" s="21"/>
      <c r="BZ992" s="21"/>
      <c r="CA992" s="21"/>
      <c r="CB992" s="21"/>
      <c r="CC992" s="21"/>
      <c r="CD992" s="21"/>
      <c r="CE992" s="21"/>
      <c r="CF992" s="21"/>
      <c r="CG992" s="21"/>
      <c r="CH992" s="21"/>
      <c r="CI992" s="21"/>
      <c r="CJ992" s="21"/>
      <c r="CK992" s="21"/>
      <c r="CL992" s="21"/>
      <c r="CM992" s="21"/>
      <c r="CN992" s="21"/>
      <c r="CO992" s="21"/>
      <c r="CP992" s="21"/>
      <c r="CQ992" s="21"/>
      <c r="CR992" s="21"/>
      <c r="CS992" s="21"/>
      <c r="CT992" s="21"/>
      <c r="CU992" s="21"/>
      <c r="CV992" s="21"/>
      <c r="CW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  <c r="BP993" s="21"/>
      <c r="BQ993" s="21"/>
      <c r="BR993" s="21"/>
      <c r="BS993" s="21"/>
      <c r="BT993" s="21"/>
      <c r="BU993" s="21"/>
      <c r="BV993" s="21"/>
      <c r="BW993" s="21"/>
      <c r="BX993" s="21"/>
      <c r="BY993" s="21"/>
      <c r="BZ993" s="21"/>
      <c r="CA993" s="21"/>
      <c r="CB993" s="21"/>
      <c r="CC993" s="21"/>
      <c r="CD993" s="21"/>
      <c r="CE993" s="21"/>
      <c r="CF993" s="21"/>
      <c r="CG993" s="21"/>
      <c r="CH993" s="21"/>
      <c r="CI993" s="21"/>
      <c r="CJ993" s="21"/>
      <c r="CK993" s="21"/>
      <c r="CL993" s="21"/>
      <c r="CM993" s="21"/>
      <c r="CN993" s="21"/>
      <c r="CO993" s="21"/>
      <c r="CP993" s="21"/>
      <c r="CQ993" s="21"/>
      <c r="CR993" s="21"/>
      <c r="CS993" s="21"/>
      <c r="CT993" s="21"/>
      <c r="CU993" s="21"/>
      <c r="CV993" s="21"/>
      <c r="CW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  <c r="BP994" s="21"/>
      <c r="BQ994" s="21"/>
      <c r="BR994" s="21"/>
      <c r="BS994" s="21"/>
      <c r="BT994" s="21"/>
      <c r="BU994" s="21"/>
      <c r="BV994" s="21"/>
      <c r="BW994" s="21"/>
      <c r="BX994" s="21"/>
      <c r="BY994" s="21"/>
      <c r="BZ994" s="21"/>
      <c r="CA994" s="21"/>
      <c r="CB994" s="21"/>
      <c r="CC994" s="21"/>
      <c r="CD994" s="21"/>
      <c r="CE994" s="21"/>
      <c r="CF994" s="21"/>
      <c r="CG994" s="21"/>
      <c r="CH994" s="21"/>
      <c r="CI994" s="21"/>
      <c r="CJ994" s="21"/>
      <c r="CK994" s="21"/>
      <c r="CL994" s="21"/>
      <c r="CM994" s="21"/>
      <c r="CN994" s="21"/>
      <c r="CO994" s="21"/>
      <c r="CP994" s="21"/>
      <c r="CQ994" s="21"/>
      <c r="CR994" s="21"/>
      <c r="CS994" s="21"/>
      <c r="CT994" s="21"/>
      <c r="CU994" s="21"/>
      <c r="CV994" s="21"/>
      <c r="CW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  <c r="BP995" s="21"/>
      <c r="BQ995" s="21"/>
      <c r="BR995" s="21"/>
      <c r="BS995" s="21"/>
      <c r="BT995" s="21"/>
      <c r="BU995" s="21"/>
      <c r="BV995" s="21"/>
      <c r="BW995" s="21"/>
      <c r="BX995" s="21"/>
      <c r="BY995" s="21"/>
      <c r="BZ995" s="21"/>
      <c r="CA995" s="21"/>
      <c r="CB995" s="21"/>
      <c r="CC995" s="21"/>
      <c r="CD995" s="21"/>
      <c r="CE995" s="21"/>
      <c r="CF995" s="21"/>
      <c r="CG995" s="21"/>
      <c r="CH995" s="21"/>
      <c r="CI995" s="21"/>
      <c r="CJ995" s="21"/>
      <c r="CK995" s="21"/>
      <c r="CL995" s="21"/>
      <c r="CM995" s="21"/>
      <c r="CN995" s="21"/>
      <c r="CO995" s="21"/>
      <c r="CP995" s="21"/>
      <c r="CQ995" s="21"/>
      <c r="CR995" s="21"/>
      <c r="CS995" s="21"/>
      <c r="CT995" s="21"/>
      <c r="CU995" s="21"/>
      <c r="CV995" s="21"/>
      <c r="CW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  <c r="BP996" s="21"/>
      <c r="BQ996" s="21"/>
      <c r="BR996" s="21"/>
      <c r="BS996" s="21"/>
      <c r="BT996" s="21"/>
      <c r="BU996" s="21"/>
      <c r="BV996" s="21"/>
      <c r="BW996" s="21"/>
      <c r="BX996" s="21"/>
      <c r="BY996" s="21"/>
      <c r="BZ996" s="21"/>
      <c r="CA996" s="21"/>
      <c r="CB996" s="21"/>
      <c r="CC996" s="21"/>
      <c r="CD996" s="21"/>
      <c r="CE996" s="21"/>
      <c r="CF996" s="21"/>
      <c r="CG996" s="21"/>
      <c r="CH996" s="21"/>
      <c r="CI996" s="21"/>
      <c r="CJ996" s="21"/>
      <c r="CK996" s="21"/>
      <c r="CL996" s="21"/>
      <c r="CM996" s="21"/>
      <c r="CN996" s="21"/>
      <c r="CO996" s="21"/>
      <c r="CP996" s="21"/>
      <c r="CQ996" s="21"/>
      <c r="CR996" s="21"/>
      <c r="CS996" s="21"/>
      <c r="CT996" s="21"/>
      <c r="CU996" s="21"/>
      <c r="CV996" s="21"/>
      <c r="CW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  <c r="BP997" s="21"/>
      <c r="BQ997" s="21"/>
      <c r="BR997" s="21"/>
      <c r="BS997" s="21"/>
      <c r="BT997" s="21"/>
      <c r="BU997" s="21"/>
      <c r="BV997" s="21"/>
      <c r="BW997" s="21"/>
      <c r="BX997" s="21"/>
      <c r="BY997" s="21"/>
      <c r="BZ997" s="21"/>
      <c r="CA997" s="21"/>
      <c r="CB997" s="21"/>
      <c r="CC997" s="21"/>
      <c r="CD997" s="21"/>
      <c r="CE997" s="21"/>
      <c r="CF997" s="21"/>
      <c r="CG997" s="21"/>
      <c r="CH997" s="21"/>
      <c r="CI997" s="21"/>
      <c r="CJ997" s="21"/>
      <c r="CK997" s="21"/>
      <c r="CL997" s="21"/>
      <c r="CM997" s="21"/>
      <c r="CN997" s="21"/>
      <c r="CO997" s="21"/>
      <c r="CP997" s="21"/>
      <c r="CQ997" s="21"/>
      <c r="CR997" s="21"/>
      <c r="CS997" s="21"/>
      <c r="CT997" s="21"/>
      <c r="CU997" s="21"/>
      <c r="CV997" s="21"/>
      <c r="CW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  <c r="BO998" s="21"/>
      <c r="BP998" s="21"/>
      <c r="BQ998" s="21"/>
      <c r="BR998" s="21"/>
      <c r="BS998" s="21"/>
      <c r="BT998" s="21"/>
      <c r="BU998" s="21"/>
      <c r="BV998" s="21"/>
      <c r="BW998" s="21"/>
      <c r="BX998" s="21"/>
      <c r="BY998" s="21"/>
      <c r="BZ998" s="21"/>
      <c r="CA998" s="21"/>
      <c r="CB998" s="21"/>
      <c r="CC998" s="21"/>
      <c r="CD998" s="21"/>
      <c r="CE998" s="21"/>
      <c r="CF998" s="21"/>
      <c r="CG998" s="21"/>
      <c r="CH998" s="21"/>
      <c r="CI998" s="21"/>
      <c r="CJ998" s="21"/>
      <c r="CK998" s="21"/>
      <c r="CL998" s="21"/>
      <c r="CM998" s="21"/>
      <c r="CN998" s="21"/>
      <c r="CO998" s="21"/>
      <c r="CP998" s="21"/>
      <c r="CQ998" s="21"/>
      <c r="CR998" s="21"/>
      <c r="CS998" s="21"/>
      <c r="CT998" s="21"/>
      <c r="CU998" s="21"/>
      <c r="CV998" s="21"/>
      <c r="CW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  <c r="BO999" s="21"/>
      <c r="BP999" s="21"/>
      <c r="BQ999" s="21"/>
      <c r="BR999" s="21"/>
      <c r="BS999" s="21"/>
      <c r="BT999" s="21"/>
      <c r="BU999" s="21"/>
      <c r="BV999" s="21"/>
      <c r="BW999" s="21"/>
      <c r="BX999" s="21"/>
      <c r="BY999" s="21"/>
      <c r="BZ999" s="21"/>
      <c r="CA999" s="21"/>
      <c r="CB999" s="21"/>
      <c r="CC999" s="21"/>
      <c r="CD999" s="21"/>
      <c r="CE999" s="21"/>
      <c r="CF999" s="21"/>
      <c r="CG999" s="21"/>
      <c r="CH999" s="21"/>
      <c r="CI999" s="21"/>
      <c r="CJ999" s="21"/>
      <c r="CK999" s="21"/>
      <c r="CL999" s="21"/>
      <c r="CM999" s="21"/>
      <c r="CN999" s="21"/>
      <c r="CO999" s="21"/>
      <c r="CP999" s="21"/>
      <c r="CQ999" s="21"/>
      <c r="CR999" s="21"/>
      <c r="CS999" s="21"/>
      <c r="CT999" s="21"/>
      <c r="CU999" s="21"/>
      <c r="CV999" s="21"/>
      <c r="CW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  <c r="BO1000" s="21"/>
      <c r="BP1000" s="21"/>
      <c r="BQ1000" s="21"/>
      <c r="BR1000" s="21"/>
      <c r="BS1000" s="21"/>
      <c r="BT1000" s="21"/>
      <c r="BU1000" s="21"/>
      <c r="BV1000" s="21"/>
      <c r="BW1000" s="21"/>
      <c r="BX1000" s="21"/>
      <c r="BY1000" s="21"/>
      <c r="BZ1000" s="21"/>
      <c r="CA1000" s="21"/>
      <c r="CB1000" s="21"/>
      <c r="CC1000" s="21"/>
      <c r="CD1000" s="21"/>
      <c r="CE1000" s="21"/>
      <c r="CF1000" s="21"/>
      <c r="CG1000" s="21"/>
      <c r="CH1000" s="21"/>
      <c r="CI1000" s="21"/>
      <c r="CJ1000" s="21"/>
      <c r="CK1000" s="21"/>
      <c r="CL1000" s="21"/>
      <c r="CM1000" s="21"/>
      <c r="CN1000" s="21"/>
      <c r="CO1000" s="21"/>
      <c r="CP1000" s="21"/>
      <c r="CQ1000" s="21"/>
      <c r="CR1000" s="21"/>
      <c r="CS1000" s="21"/>
      <c r="CT1000" s="21"/>
      <c r="CU1000" s="21"/>
      <c r="CV1000" s="21"/>
      <c r="CW1000" s="21"/>
    </row>
  </sheetData>
  <mergeCells count="1">
    <mergeCell ref="A1:M1"/>
  </mergeCells>
  <dataValidations>
    <dataValidation type="decimal" allowBlank="1" showErrorMessage="1" sqref="B3:BK19 AC20:BK21 B22:BK155">
      <formula1>0.0</formula1>
      <formula2>50.0</formula2>
    </dataValidation>
    <dataValidation type="list" allowBlank="1" showErrorMessage="1" sqref="BL3:CW103">
      <formula1>formularios!$A$3:$A$13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14"/>
    <col customWidth="1" min="2" max="2" width="17.71"/>
    <col customWidth="1" min="3" max="3" width="26.57"/>
    <col customWidth="1" min="4" max="4" width="20.14"/>
    <col customWidth="1" min="5" max="24" width="9.43"/>
    <col customWidth="1" min="25" max="25" width="10.43"/>
    <col customWidth="1" min="26" max="28" width="10.86"/>
    <col customWidth="1" min="29" max="101" width="10.71"/>
  </cols>
  <sheetData>
    <row r="1" ht="46.5" customHeight="1">
      <c r="A1" s="51" t="s">
        <v>122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</row>
    <row r="2">
      <c r="A2" s="52" t="s">
        <v>123</v>
      </c>
      <c r="B2" s="53">
        <f t="array" ref="B2:CW2">TRANSPOSE(IF('1_Cadastramento'!C3:C104="","",'1_Cadastramento'!C3:C104))</f>
        <v>11</v>
      </c>
      <c r="C2" s="53">
        <v>12.0</v>
      </c>
      <c r="D2" s="53">
        <v>13.0</v>
      </c>
      <c r="E2" s="53">
        <v>21.0</v>
      </c>
      <c r="F2" s="53">
        <v>22.0</v>
      </c>
      <c r="G2" s="53">
        <v>23.0</v>
      </c>
      <c r="H2" s="53">
        <v>31.0</v>
      </c>
      <c r="I2" s="53">
        <v>32.0</v>
      </c>
      <c r="J2" s="53">
        <v>33.0</v>
      </c>
      <c r="K2" s="53">
        <v>41.0</v>
      </c>
      <c r="L2" s="53">
        <v>42.0</v>
      </c>
      <c r="M2" s="54">
        <v>43.0</v>
      </c>
      <c r="N2" s="54">
        <v>51.0</v>
      </c>
      <c r="O2" s="54">
        <v>52.0</v>
      </c>
      <c r="P2" s="54">
        <v>53.0</v>
      </c>
      <c r="Q2" s="54">
        <v>61.0</v>
      </c>
      <c r="R2" s="54">
        <v>62.0</v>
      </c>
      <c r="S2" s="54">
        <v>63.0</v>
      </c>
      <c r="T2" s="54">
        <v>71.0</v>
      </c>
      <c r="U2" s="54">
        <v>72.0</v>
      </c>
      <c r="V2" s="54">
        <v>73.0</v>
      </c>
      <c r="W2" s="54">
        <v>81.0</v>
      </c>
      <c r="X2" s="54">
        <v>82.0</v>
      </c>
      <c r="Y2" s="54">
        <v>83.0</v>
      </c>
      <c r="Z2" s="54">
        <v>91.0</v>
      </c>
      <c r="AA2" s="54">
        <v>92.0</v>
      </c>
      <c r="AB2" s="54">
        <v>93.0</v>
      </c>
      <c r="AC2" s="55" t="s">
        <v>121</v>
      </c>
      <c r="AD2" s="55" t="s">
        <v>121</v>
      </c>
      <c r="AE2" s="55" t="s">
        <v>121</v>
      </c>
      <c r="AF2" s="55" t="s">
        <v>121</v>
      </c>
      <c r="AG2" s="55" t="s">
        <v>121</v>
      </c>
      <c r="AH2" s="55" t="s">
        <v>121</v>
      </c>
      <c r="AI2" s="55" t="s">
        <v>121</v>
      </c>
      <c r="AJ2" s="55" t="s">
        <v>121</v>
      </c>
      <c r="AK2" s="55" t="s">
        <v>121</v>
      </c>
      <c r="AL2" s="55" t="s">
        <v>121</v>
      </c>
      <c r="AM2" s="55" t="s">
        <v>121</v>
      </c>
      <c r="AN2" s="55" t="s">
        <v>121</v>
      </c>
      <c r="AO2" s="55" t="s">
        <v>121</v>
      </c>
      <c r="AP2" s="55" t="s">
        <v>121</v>
      </c>
      <c r="AQ2" s="55" t="s">
        <v>121</v>
      </c>
      <c r="AR2" s="55" t="s">
        <v>121</v>
      </c>
      <c r="AS2" s="55" t="s">
        <v>121</v>
      </c>
      <c r="AT2" s="55" t="s">
        <v>121</v>
      </c>
      <c r="AU2" s="55" t="s">
        <v>121</v>
      </c>
      <c r="AV2" s="55" t="s">
        <v>121</v>
      </c>
      <c r="AW2" s="55" t="s">
        <v>121</v>
      </c>
      <c r="AX2" s="55" t="s">
        <v>121</v>
      </c>
      <c r="AY2" s="55" t="s">
        <v>121</v>
      </c>
      <c r="AZ2" s="55" t="s">
        <v>121</v>
      </c>
      <c r="BA2" s="55" t="s">
        <v>121</v>
      </c>
      <c r="BB2" s="55" t="s">
        <v>121</v>
      </c>
      <c r="BC2" s="55" t="s">
        <v>121</v>
      </c>
      <c r="BD2" s="55" t="s">
        <v>121</v>
      </c>
      <c r="BE2" s="55" t="s">
        <v>121</v>
      </c>
      <c r="BF2" s="55" t="s">
        <v>121</v>
      </c>
      <c r="BG2" s="55" t="s">
        <v>121</v>
      </c>
      <c r="BH2" s="55" t="s">
        <v>121</v>
      </c>
      <c r="BI2" s="55" t="s">
        <v>121</v>
      </c>
      <c r="BJ2" s="55" t="s">
        <v>121</v>
      </c>
      <c r="BK2" s="55" t="s">
        <v>121</v>
      </c>
      <c r="BL2" s="55" t="s">
        <v>121</v>
      </c>
      <c r="BM2" s="55" t="s">
        <v>121</v>
      </c>
      <c r="BN2" s="55" t="s">
        <v>121</v>
      </c>
      <c r="BO2" s="55" t="s">
        <v>121</v>
      </c>
      <c r="BP2" s="55" t="s">
        <v>121</v>
      </c>
      <c r="BQ2" s="55" t="s">
        <v>121</v>
      </c>
      <c r="BR2" s="55" t="s">
        <v>121</v>
      </c>
      <c r="BS2" s="55" t="s">
        <v>121</v>
      </c>
      <c r="BT2" s="55" t="s">
        <v>121</v>
      </c>
      <c r="BU2" s="55" t="s">
        <v>121</v>
      </c>
      <c r="BV2" s="55" t="s">
        <v>121</v>
      </c>
      <c r="BW2" s="55" t="s">
        <v>121</v>
      </c>
      <c r="BX2" s="55" t="s">
        <v>121</v>
      </c>
      <c r="BY2" s="55" t="s">
        <v>121</v>
      </c>
      <c r="BZ2" s="55" t="s">
        <v>121</v>
      </c>
      <c r="CA2" s="55" t="s">
        <v>121</v>
      </c>
      <c r="CB2" s="55" t="s">
        <v>121</v>
      </c>
      <c r="CC2" s="55" t="s">
        <v>121</v>
      </c>
      <c r="CD2" s="55" t="s">
        <v>121</v>
      </c>
      <c r="CE2" s="55" t="s">
        <v>121</v>
      </c>
      <c r="CF2" s="55" t="s">
        <v>121</v>
      </c>
      <c r="CG2" s="55" t="s">
        <v>121</v>
      </c>
      <c r="CH2" s="55" t="s">
        <v>121</v>
      </c>
      <c r="CI2" s="55" t="s">
        <v>121</v>
      </c>
      <c r="CJ2" s="55" t="s">
        <v>121</v>
      </c>
      <c r="CK2" s="55" t="s">
        <v>121</v>
      </c>
      <c r="CL2" s="55" t="s">
        <v>121</v>
      </c>
      <c r="CM2" s="55" t="s">
        <v>121</v>
      </c>
      <c r="CN2" s="55" t="s">
        <v>121</v>
      </c>
      <c r="CO2" s="55" t="s">
        <v>121</v>
      </c>
      <c r="CP2" s="55" t="s">
        <v>121</v>
      </c>
      <c r="CQ2" s="55" t="s">
        <v>121</v>
      </c>
      <c r="CR2" s="55" t="s">
        <v>121</v>
      </c>
      <c r="CS2" s="55" t="s">
        <v>121</v>
      </c>
      <c r="CT2" s="55" t="s">
        <v>121</v>
      </c>
      <c r="CU2" s="55" t="s">
        <v>121</v>
      </c>
      <c r="CV2" s="55" t="s">
        <v>121</v>
      </c>
      <c r="CW2" s="55" t="s">
        <v>121</v>
      </c>
    </row>
    <row r="3">
      <c r="A3" s="56" t="str">
        <f t="array" ref="A3:A102">IF('1_Cadastramento'!F3:F104="","",'1_Cadastramento'!F3:F104)</f>
        <v>Arte</v>
      </c>
      <c r="B3" s="10" t="s">
        <v>35</v>
      </c>
      <c r="C3" s="10" t="s">
        <v>35</v>
      </c>
      <c r="D3" s="10" t="s">
        <v>35</v>
      </c>
      <c r="E3" s="10" t="s">
        <v>35</v>
      </c>
      <c r="F3" s="10" t="s">
        <v>35</v>
      </c>
      <c r="G3" s="10" t="s">
        <v>61</v>
      </c>
      <c r="H3" s="10" t="s">
        <v>35</v>
      </c>
      <c r="I3" s="10" t="s">
        <v>35</v>
      </c>
      <c r="J3" s="10" t="s">
        <v>35</v>
      </c>
      <c r="K3" s="10" t="s">
        <v>72</v>
      </c>
      <c r="L3" s="10" t="s">
        <v>72</v>
      </c>
      <c r="M3" s="10" t="s">
        <v>72</v>
      </c>
      <c r="N3" s="10" t="s">
        <v>61</v>
      </c>
      <c r="O3" s="10" t="s">
        <v>61</v>
      </c>
      <c r="P3" s="10" t="s">
        <v>61</v>
      </c>
      <c r="Q3" s="10" t="s">
        <v>61</v>
      </c>
      <c r="R3" s="10" t="s">
        <v>61</v>
      </c>
      <c r="S3" s="10" t="s">
        <v>61</v>
      </c>
      <c r="T3" s="10" t="s">
        <v>61</v>
      </c>
      <c r="U3" s="10" t="s">
        <v>72</v>
      </c>
      <c r="V3" s="10" t="s">
        <v>61</v>
      </c>
      <c r="W3" s="10" t="s">
        <v>35</v>
      </c>
      <c r="X3" s="10" t="s">
        <v>35</v>
      </c>
      <c r="Y3" s="10" t="s">
        <v>35</v>
      </c>
      <c r="Z3" s="10" t="s">
        <v>35</v>
      </c>
      <c r="AA3" s="10" t="s">
        <v>35</v>
      </c>
      <c r="AB3" s="10" t="s">
        <v>35</v>
      </c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</row>
    <row r="4">
      <c r="A4" s="56" t="s">
        <v>13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 t="s">
        <v>60</v>
      </c>
      <c r="R4" s="10" t="s">
        <v>60</v>
      </c>
      <c r="S4" s="10" t="s">
        <v>60</v>
      </c>
      <c r="T4" s="10" t="s">
        <v>73</v>
      </c>
      <c r="U4" s="10" t="s">
        <v>73</v>
      </c>
      <c r="V4" s="10" t="s">
        <v>60</v>
      </c>
      <c r="W4" s="10" t="s">
        <v>73</v>
      </c>
      <c r="X4" s="10" t="s">
        <v>73</v>
      </c>
      <c r="Y4" s="10" t="s">
        <v>60</v>
      </c>
      <c r="Z4" s="10" t="s">
        <v>60</v>
      </c>
      <c r="AA4" s="10" t="s">
        <v>60</v>
      </c>
      <c r="AB4" s="10" t="s">
        <v>60</v>
      </c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</row>
    <row r="5">
      <c r="A5" s="56" t="s">
        <v>18</v>
      </c>
      <c r="B5" s="10" t="s">
        <v>65</v>
      </c>
      <c r="C5" s="10" t="s">
        <v>65</v>
      </c>
      <c r="D5" s="10" t="s">
        <v>65</v>
      </c>
      <c r="E5" s="10" t="s">
        <v>65</v>
      </c>
      <c r="F5" s="10" t="s">
        <v>65</v>
      </c>
      <c r="G5" s="10" t="s">
        <v>65</v>
      </c>
      <c r="H5" s="10" t="s">
        <v>65</v>
      </c>
      <c r="I5" s="10" t="s">
        <v>65</v>
      </c>
      <c r="J5" s="10" t="s">
        <v>65</v>
      </c>
      <c r="K5" s="10" t="s">
        <v>51</v>
      </c>
      <c r="L5" s="10" t="s">
        <v>51</v>
      </c>
      <c r="M5" s="10" t="s">
        <v>51</v>
      </c>
      <c r="N5" s="10" t="s">
        <v>51</v>
      </c>
      <c r="O5" s="10" t="s">
        <v>51</v>
      </c>
      <c r="P5" s="10" t="s">
        <v>51</v>
      </c>
      <c r="Q5" s="10" t="s">
        <v>51</v>
      </c>
      <c r="R5" s="10" t="s">
        <v>51</v>
      </c>
      <c r="S5" s="10" t="s">
        <v>53</v>
      </c>
      <c r="T5" s="10" t="s">
        <v>53</v>
      </c>
      <c r="U5" s="10" t="s">
        <v>53</v>
      </c>
      <c r="V5" s="10" t="s">
        <v>53</v>
      </c>
      <c r="W5" s="10" t="s">
        <v>53</v>
      </c>
      <c r="X5" s="10" t="s">
        <v>53</v>
      </c>
      <c r="Y5" s="10" t="s">
        <v>53</v>
      </c>
      <c r="Z5" s="10" t="s">
        <v>53</v>
      </c>
      <c r="AA5" s="10" t="s">
        <v>53</v>
      </c>
      <c r="AB5" s="10" t="s">
        <v>53</v>
      </c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</row>
    <row r="6">
      <c r="A6" s="56" t="s">
        <v>21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 t="s">
        <v>27</v>
      </c>
      <c r="R6" s="10" t="s">
        <v>27</v>
      </c>
      <c r="S6" s="10" t="s">
        <v>27</v>
      </c>
      <c r="T6" s="10" t="s">
        <v>27</v>
      </c>
      <c r="U6" s="10" t="s">
        <v>27</v>
      </c>
      <c r="V6" s="10" t="s">
        <v>27</v>
      </c>
      <c r="W6" s="10" t="s">
        <v>27</v>
      </c>
      <c r="X6" s="10" t="s">
        <v>27</v>
      </c>
      <c r="Y6" s="10" t="s">
        <v>27</v>
      </c>
      <c r="Z6" s="10" t="s">
        <v>58</v>
      </c>
      <c r="AA6" s="10" t="s">
        <v>58</v>
      </c>
      <c r="AB6" s="10" t="s">
        <v>58</v>
      </c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</row>
    <row r="7">
      <c r="A7" s="56" t="s">
        <v>23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 t="s">
        <v>22</v>
      </c>
      <c r="R7" s="10" t="s">
        <v>22</v>
      </c>
      <c r="S7" s="10" t="s">
        <v>22</v>
      </c>
      <c r="T7" s="10" t="s">
        <v>22</v>
      </c>
      <c r="U7" s="10" t="s">
        <v>22</v>
      </c>
      <c r="V7" s="10" t="s">
        <v>22</v>
      </c>
      <c r="W7" s="10" t="s">
        <v>22</v>
      </c>
      <c r="X7" s="10" t="s">
        <v>22</v>
      </c>
      <c r="Y7" s="10" t="s">
        <v>22</v>
      </c>
      <c r="Z7" s="10" t="s">
        <v>24</v>
      </c>
      <c r="AA7" s="10" t="s">
        <v>24</v>
      </c>
      <c r="AB7" s="10" t="s">
        <v>24</v>
      </c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</row>
    <row r="8">
      <c r="A8" s="56" t="s">
        <v>26</v>
      </c>
      <c r="B8" s="10" t="s">
        <v>59</v>
      </c>
      <c r="C8" s="10" t="s">
        <v>49</v>
      </c>
      <c r="D8" s="10" t="s">
        <v>49</v>
      </c>
      <c r="E8" s="10" t="s">
        <v>49</v>
      </c>
      <c r="F8" s="10" t="s">
        <v>69</v>
      </c>
      <c r="G8" s="10" t="s">
        <v>69</v>
      </c>
      <c r="H8" s="10" t="s">
        <v>59</v>
      </c>
      <c r="I8" s="10" t="s">
        <v>59</v>
      </c>
      <c r="J8" s="10" t="s">
        <v>41</v>
      </c>
      <c r="K8" s="10" t="s">
        <v>59</v>
      </c>
      <c r="L8" s="10" t="s">
        <v>41</v>
      </c>
      <c r="M8" s="10" t="s">
        <v>41</v>
      </c>
      <c r="N8" s="10" t="s">
        <v>43</v>
      </c>
      <c r="O8" s="10" t="s">
        <v>43</v>
      </c>
      <c r="P8" s="10" t="s">
        <v>43</v>
      </c>
      <c r="Q8" s="10" t="s">
        <v>43</v>
      </c>
      <c r="R8" s="10" t="s">
        <v>69</v>
      </c>
      <c r="S8" s="10" t="s">
        <v>69</v>
      </c>
      <c r="T8" s="10" t="s">
        <v>43</v>
      </c>
      <c r="U8" s="10" t="s">
        <v>43</v>
      </c>
      <c r="V8" s="10" t="s">
        <v>43</v>
      </c>
      <c r="W8" s="10" t="s">
        <v>43</v>
      </c>
      <c r="X8" s="10" t="s">
        <v>69</v>
      </c>
      <c r="Y8" s="10" t="s">
        <v>69</v>
      </c>
      <c r="Z8" s="10" t="s">
        <v>43</v>
      </c>
      <c r="AA8" s="10" t="s">
        <v>43</v>
      </c>
      <c r="AB8" s="10" t="s">
        <v>43</v>
      </c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</row>
    <row r="9">
      <c r="A9" s="56" t="s">
        <v>28</v>
      </c>
      <c r="B9" s="10"/>
      <c r="C9" s="10"/>
      <c r="D9" s="10"/>
      <c r="E9" s="10"/>
      <c r="F9" s="10"/>
      <c r="G9" s="10" t="s">
        <v>50</v>
      </c>
      <c r="H9" s="10"/>
      <c r="I9" s="10"/>
      <c r="J9" s="10"/>
      <c r="K9" s="10"/>
      <c r="L9" s="10"/>
      <c r="M9" s="10"/>
      <c r="N9" s="10" t="s">
        <v>50</v>
      </c>
      <c r="O9" s="10" t="s">
        <v>50</v>
      </c>
      <c r="P9" s="10" t="s">
        <v>50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</row>
    <row r="10">
      <c r="A10" s="56" t="s">
        <v>30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 t="s">
        <v>64</v>
      </c>
      <c r="R10" s="10" t="s">
        <v>64</v>
      </c>
      <c r="S10" s="10" t="s">
        <v>64</v>
      </c>
      <c r="T10" s="10" t="s">
        <v>64</v>
      </c>
      <c r="U10" s="10" t="s">
        <v>64</v>
      </c>
      <c r="V10" s="10" t="s">
        <v>64</v>
      </c>
      <c r="W10" s="10" t="s">
        <v>54</v>
      </c>
      <c r="X10" s="10" t="s">
        <v>54</v>
      </c>
      <c r="Y10" s="10" t="s">
        <v>7</v>
      </c>
      <c r="Z10" s="10" t="s">
        <v>54</v>
      </c>
      <c r="AA10" s="10" t="s">
        <v>54</v>
      </c>
      <c r="AB10" s="10" t="s">
        <v>54</v>
      </c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</row>
    <row r="11">
      <c r="A11" s="56" t="s">
        <v>32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 t="s">
        <v>29</v>
      </c>
      <c r="R11" s="10" t="s">
        <v>31</v>
      </c>
      <c r="S11" s="10" t="s">
        <v>31</v>
      </c>
      <c r="T11" s="10" t="s">
        <v>29</v>
      </c>
      <c r="U11" s="10" t="s">
        <v>29</v>
      </c>
      <c r="V11" s="10" t="s">
        <v>20</v>
      </c>
      <c r="W11" s="10" t="s">
        <v>59</v>
      </c>
      <c r="X11" s="10" t="s">
        <v>59</v>
      </c>
      <c r="Y11" s="10" t="s">
        <v>59</v>
      </c>
      <c r="Z11" s="10" t="s">
        <v>31</v>
      </c>
      <c r="AA11" s="10" t="s">
        <v>31</v>
      </c>
      <c r="AB11" s="10" t="s">
        <v>31</v>
      </c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</row>
    <row r="12">
      <c r="A12" s="56" t="s">
        <v>34</v>
      </c>
      <c r="B12" s="10" t="s">
        <v>62</v>
      </c>
      <c r="C12" s="10" t="s">
        <v>52</v>
      </c>
      <c r="D12" s="10" t="s">
        <v>62</v>
      </c>
      <c r="E12" s="10" t="s">
        <v>55</v>
      </c>
      <c r="F12" s="10" t="s">
        <v>55</v>
      </c>
      <c r="G12" s="10" t="s">
        <v>67</v>
      </c>
      <c r="H12" s="10" t="s">
        <v>63</v>
      </c>
      <c r="I12" s="10" t="s">
        <v>71</v>
      </c>
      <c r="J12" s="10" t="s">
        <v>71</v>
      </c>
      <c r="K12" s="10" t="s">
        <v>66</v>
      </c>
      <c r="L12" s="10" t="s">
        <v>45</v>
      </c>
      <c r="M12" s="10" t="s">
        <v>68</v>
      </c>
      <c r="N12" s="10" t="s">
        <v>33</v>
      </c>
      <c r="O12" s="10" t="s">
        <v>56</v>
      </c>
      <c r="P12" s="10" t="s">
        <v>70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</row>
    <row r="13" ht="15.0" customHeight="1">
      <c r="A13" s="56" t="s">
        <v>36</v>
      </c>
      <c r="B13" s="10" t="s">
        <v>57</v>
      </c>
      <c r="C13" s="10" t="s">
        <v>57</v>
      </c>
      <c r="D13" s="10" t="s">
        <v>57</v>
      </c>
      <c r="E13" s="10" t="s">
        <v>57</v>
      </c>
      <c r="F13" s="10" t="s">
        <v>57</v>
      </c>
      <c r="G13" s="10" t="s">
        <v>47</v>
      </c>
      <c r="H13" s="10" t="s">
        <v>57</v>
      </c>
      <c r="I13" s="10" t="s">
        <v>57</v>
      </c>
      <c r="J13" s="10" t="s">
        <v>57</v>
      </c>
      <c r="K13" s="10" t="s">
        <v>57</v>
      </c>
      <c r="L13" s="10" t="s">
        <v>57</v>
      </c>
      <c r="M13" s="10" t="s">
        <v>57</v>
      </c>
      <c r="N13" s="10" t="s">
        <v>47</v>
      </c>
      <c r="O13" s="10" t="s">
        <v>47</v>
      </c>
      <c r="P13" s="10" t="s">
        <v>47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</row>
    <row r="14">
      <c r="A14" s="56" t="s">
        <v>38</v>
      </c>
      <c r="B14" s="10"/>
      <c r="C14" s="10"/>
      <c r="D14" s="10"/>
      <c r="E14" s="10"/>
      <c r="F14" s="10"/>
      <c r="G14" s="10" t="s">
        <v>72</v>
      </c>
      <c r="H14" s="10"/>
      <c r="I14" s="10"/>
      <c r="J14" s="10"/>
      <c r="K14" s="10"/>
      <c r="L14" s="10"/>
      <c r="M14" s="10"/>
      <c r="N14" s="10" t="s">
        <v>72</v>
      </c>
      <c r="O14" s="10" t="s">
        <v>72</v>
      </c>
      <c r="P14" s="10" t="s">
        <v>72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</row>
    <row r="15">
      <c r="A15" s="58" t="s">
        <v>40</v>
      </c>
      <c r="B15" s="59"/>
      <c r="C15" s="59"/>
      <c r="D15" s="59"/>
      <c r="E15" s="59"/>
      <c r="F15" s="59"/>
      <c r="G15" s="59" t="s">
        <v>37</v>
      </c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  <c r="CD15" s="60"/>
      <c r="CE15" s="60"/>
      <c r="CF15" s="60"/>
      <c r="CG15" s="60"/>
      <c r="CH15" s="60"/>
      <c r="CI15" s="60"/>
      <c r="CJ15" s="60"/>
      <c r="CK15" s="60"/>
      <c r="CL15" s="60"/>
      <c r="CM15" s="60"/>
      <c r="CN15" s="60"/>
      <c r="CO15" s="60"/>
      <c r="CP15" s="60"/>
      <c r="CQ15" s="60"/>
      <c r="CR15" s="60"/>
      <c r="CS15" s="60"/>
      <c r="CT15" s="60"/>
      <c r="CU15" s="60"/>
      <c r="CV15" s="60"/>
      <c r="CW15" s="60"/>
    </row>
    <row r="16">
      <c r="A16" s="58" t="s">
        <v>42</v>
      </c>
      <c r="B16" s="59"/>
      <c r="C16" s="59"/>
      <c r="D16" s="59"/>
      <c r="E16" s="59"/>
      <c r="F16" s="59"/>
      <c r="G16" s="59" t="s">
        <v>39</v>
      </c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</row>
    <row r="17">
      <c r="A17" s="58" t="s">
        <v>44</v>
      </c>
      <c r="B17" s="59"/>
      <c r="C17" s="59"/>
      <c r="D17" s="59"/>
      <c r="E17" s="59"/>
      <c r="F17" s="59"/>
      <c r="G17" s="59" t="s">
        <v>73</v>
      </c>
      <c r="H17" s="59"/>
      <c r="I17" s="59"/>
      <c r="J17" s="59"/>
      <c r="K17" s="59"/>
      <c r="L17" s="59"/>
      <c r="M17" s="59"/>
      <c r="N17" s="59" t="s">
        <v>73</v>
      </c>
      <c r="O17" s="59" t="s">
        <v>73</v>
      </c>
      <c r="P17" s="59" t="s">
        <v>73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60"/>
      <c r="CG17" s="60"/>
      <c r="CH17" s="60"/>
      <c r="CI17" s="60"/>
      <c r="CJ17" s="60"/>
      <c r="CK17" s="60"/>
      <c r="CL17" s="60"/>
      <c r="CM17" s="60"/>
      <c r="CN17" s="60"/>
      <c r="CO17" s="60"/>
      <c r="CP17" s="60"/>
      <c r="CQ17" s="60"/>
      <c r="CR17" s="60"/>
      <c r="CS17" s="60"/>
      <c r="CT17" s="60"/>
      <c r="CU17" s="60"/>
      <c r="CV17" s="60"/>
      <c r="CW17" s="60"/>
    </row>
    <row r="18">
      <c r="A18" s="58" t="s">
        <v>46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 t="s">
        <v>12</v>
      </c>
      <c r="O18" s="59" t="s">
        <v>12</v>
      </c>
      <c r="P18" s="59" t="s">
        <v>12</v>
      </c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60"/>
      <c r="CU18" s="60"/>
      <c r="CV18" s="60"/>
      <c r="CW18" s="60"/>
    </row>
    <row r="19">
      <c r="A19" s="58" t="s">
        <v>48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 t="s">
        <v>16</v>
      </c>
      <c r="O19" s="59" t="s">
        <v>59</v>
      </c>
      <c r="P19" s="59" t="s">
        <v>59</v>
      </c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</row>
    <row r="20">
      <c r="A20" s="61" t="s">
        <v>121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</row>
    <row r="21" ht="15.75" customHeight="1">
      <c r="A21" s="61" t="s">
        <v>121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</row>
    <row r="22" ht="15.75" customHeight="1">
      <c r="A22" s="61" t="s">
        <v>121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21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</row>
    <row r="23" ht="15.75" customHeight="1">
      <c r="A23" s="61" t="s">
        <v>121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1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</row>
    <row r="24" ht="15.75" customHeight="1">
      <c r="A24" s="61" t="s">
        <v>121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21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</row>
    <row r="25" ht="15.75" customHeight="1">
      <c r="A25" s="61" t="s">
        <v>121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21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</row>
    <row r="26" ht="15.75" customHeight="1">
      <c r="A26" s="61" t="s">
        <v>121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21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</row>
    <row r="27" ht="15.75" customHeight="1">
      <c r="A27" s="61" t="s">
        <v>121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21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</row>
    <row r="28" ht="15.75" customHeight="1">
      <c r="A28" s="61" t="s">
        <v>121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</row>
    <row r="29" ht="15.75" customHeight="1">
      <c r="A29" s="61" t="s">
        <v>121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</row>
    <row r="30" ht="15.75" customHeight="1">
      <c r="A30" s="61" t="s">
        <v>121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</row>
    <row r="31" ht="15.75" customHeight="1">
      <c r="A31" s="61" t="s">
        <v>121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</row>
    <row r="32" ht="15.75" customHeight="1">
      <c r="A32" s="61" t="s">
        <v>121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</row>
    <row r="33" ht="15.75" customHeight="1">
      <c r="A33" s="61" t="s">
        <v>121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</row>
    <row r="34" ht="15.75" customHeight="1">
      <c r="A34" s="61" t="s">
        <v>121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</row>
    <row r="35" ht="15.75" customHeight="1">
      <c r="A35" s="61" t="s">
        <v>121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</row>
    <row r="36" ht="15.75" customHeight="1">
      <c r="A36" s="61" t="s">
        <v>121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</row>
    <row r="37" ht="15.75" customHeight="1">
      <c r="A37" s="61" t="s">
        <v>121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</row>
    <row r="38" ht="15.75" customHeight="1">
      <c r="A38" s="61" t="s">
        <v>121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</row>
    <row r="39" ht="15.75" customHeight="1">
      <c r="A39" s="61" t="s">
        <v>121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57"/>
    </row>
    <row r="40" ht="15.75" customHeight="1">
      <c r="A40" s="61" t="s">
        <v>121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  <c r="CT40" s="57"/>
      <c r="CU40" s="57"/>
      <c r="CV40" s="57"/>
      <c r="CW40" s="57"/>
    </row>
    <row r="41" ht="15.75" customHeight="1">
      <c r="A41" s="61" t="s">
        <v>121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</row>
    <row r="42" ht="15.75" customHeight="1">
      <c r="A42" s="61" t="s">
        <v>121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</row>
    <row r="43" ht="15.75" customHeight="1">
      <c r="A43" s="61" t="s">
        <v>121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  <c r="CT43" s="57"/>
      <c r="CU43" s="57"/>
      <c r="CV43" s="57"/>
      <c r="CW43" s="57"/>
    </row>
    <row r="44" ht="15.75" customHeight="1">
      <c r="A44" s="61" t="s">
        <v>121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</row>
    <row r="45" ht="15.75" customHeight="1">
      <c r="A45" s="61" t="s">
        <v>121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</row>
    <row r="46" ht="15.75" customHeight="1">
      <c r="A46" s="61" t="s">
        <v>121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</row>
    <row r="47" ht="15.75" customHeight="1">
      <c r="A47" s="61" t="s">
        <v>121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7"/>
    </row>
    <row r="48" ht="15.75" customHeight="1">
      <c r="A48" s="61" t="s">
        <v>121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/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</row>
    <row r="49" ht="15.75" customHeight="1">
      <c r="A49" s="61" t="s">
        <v>121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</row>
    <row r="50" ht="15.75" customHeight="1">
      <c r="A50" s="61" t="s">
        <v>121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</row>
    <row r="51" ht="15.75" customHeight="1">
      <c r="A51" s="61" t="s">
        <v>121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</row>
    <row r="52" ht="15.75" customHeight="1">
      <c r="A52" s="61" t="s">
        <v>121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</row>
    <row r="53" ht="15.75" customHeight="1">
      <c r="A53" s="61" t="s">
        <v>121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</row>
    <row r="54" ht="15.75" customHeight="1">
      <c r="A54" s="61" t="s">
        <v>121</v>
      </c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</row>
    <row r="55" ht="15.75" customHeight="1">
      <c r="A55" s="61" t="s">
        <v>121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  <c r="CN55" s="57"/>
      <c r="CO55" s="57"/>
      <c r="CP55" s="57"/>
      <c r="CQ55" s="57"/>
      <c r="CR55" s="57"/>
      <c r="CS55" s="57"/>
      <c r="CT55" s="57"/>
      <c r="CU55" s="57"/>
      <c r="CV55" s="57"/>
      <c r="CW55" s="57"/>
    </row>
    <row r="56" ht="15.75" customHeight="1">
      <c r="A56" s="61" t="s">
        <v>121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</row>
    <row r="57" ht="15.75" customHeight="1">
      <c r="A57" s="61" t="s">
        <v>121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</row>
    <row r="58" ht="15.75" customHeight="1">
      <c r="A58" s="61" t="s">
        <v>121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  <c r="CU58" s="57"/>
      <c r="CV58" s="57"/>
      <c r="CW58" s="57"/>
    </row>
    <row r="59" ht="15.75" customHeight="1">
      <c r="A59" s="61" t="s">
        <v>121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57"/>
      <c r="CV59" s="57"/>
      <c r="CW59" s="57"/>
    </row>
    <row r="60" ht="15.75" customHeight="1">
      <c r="A60" s="61" t="s">
        <v>121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57"/>
      <c r="CV60" s="57"/>
      <c r="CW60" s="57"/>
    </row>
    <row r="61" ht="15.75" customHeight="1">
      <c r="A61" s="61" t="s">
        <v>121</v>
      </c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57"/>
      <c r="CV61" s="57"/>
      <c r="CW61" s="57"/>
    </row>
    <row r="62" ht="15.75" customHeight="1">
      <c r="A62" s="61" t="s">
        <v>121</v>
      </c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</row>
    <row r="63" ht="15.75" customHeight="1">
      <c r="A63" s="61" t="s">
        <v>121</v>
      </c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</row>
    <row r="64" ht="15.75" customHeight="1">
      <c r="A64" s="61" t="s">
        <v>121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57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</row>
    <row r="65" ht="15.75" customHeight="1">
      <c r="A65" s="61" t="s">
        <v>121</v>
      </c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</row>
    <row r="66" ht="15.75" customHeight="1">
      <c r="A66" s="61" t="s">
        <v>121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</row>
    <row r="67" ht="15.75" customHeight="1">
      <c r="A67" s="61" t="s">
        <v>121</v>
      </c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/>
      <c r="CU67" s="57"/>
      <c r="CV67" s="57"/>
      <c r="CW67" s="57"/>
    </row>
    <row r="68" ht="15.75" customHeight="1">
      <c r="A68" s="61" t="s">
        <v>121</v>
      </c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57"/>
      <c r="BV68" s="57"/>
      <c r="BW68" s="57"/>
      <c r="BX68" s="57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  <c r="CU68" s="57"/>
      <c r="CV68" s="57"/>
      <c r="CW68" s="57"/>
    </row>
    <row r="69" ht="15.75" customHeight="1">
      <c r="A69" s="61" t="s">
        <v>121</v>
      </c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  <c r="BM69" s="57"/>
      <c r="BN69" s="57"/>
      <c r="BO69" s="57"/>
      <c r="BP69" s="57"/>
      <c r="BQ69" s="57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7"/>
      <c r="CO69" s="57"/>
      <c r="CP69" s="57"/>
      <c r="CQ69" s="57"/>
      <c r="CR69" s="57"/>
      <c r="CS69" s="57"/>
      <c r="CT69" s="57"/>
      <c r="CU69" s="57"/>
      <c r="CV69" s="57"/>
      <c r="CW69" s="57"/>
    </row>
    <row r="70" ht="15.75" customHeight="1">
      <c r="A70" s="61" t="s">
        <v>121</v>
      </c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O70" s="57"/>
      <c r="CP70" s="57"/>
      <c r="CQ70" s="57"/>
      <c r="CR70" s="57"/>
      <c r="CS70" s="57"/>
      <c r="CT70" s="57"/>
      <c r="CU70" s="57"/>
      <c r="CV70" s="57"/>
      <c r="CW70" s="57"/>
    </row>
    <row r="71" ht="15.75" customHeight="1">
      <c r="A71" s="61" t="s">
        <v>121</v>
      </c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7"/>
      <c r="CS71" s="57"/>
      <c r="CT71" s="57"/>
      <c r="CU71" s="57"/>
      <c r="CV71" s="57"/>
      <c r="CW71" s="57"/>
    </row>
    <row r="72" ht="15.75" customHeight="1">
      <c r="A72" s="61" t="s">
        <v>121</v>
      </c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  <c r="BV72" s="57"/>
      <c r="BW72" s="57"/>
      <c r="BX72" s="57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</row>
    <row r="73" ht="15.75" customHeight="1">
      <c r="A73" s="61" t="s">
        <v>121</v>
      </c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57"/>
      <c r="BV73" s="57"/>
      <c r="BW73" s="57"/>
      <c r="BX73" s="57"/>
      <c r="BY73" s="57"/>
      <c r="BZ73" s="57"/>
      <c r="CA73" s="57"/>
      <c r="CB73" s="57"/>
      <c r="CC73" s="57"/>
      <c r="CD73" s="57"/>
      <c r="CE73" s="57"/>
      <c r="CF73" s="57"/>
      <c r="CG73" s="57"/>
      <c r="CH73" s="57"/>
      <c r="CI73" s="57"/>
      <c r="CJ73" s="57"/>
      <c r="CK73" s="57"/>
      <c r="CL73" s="57"/>
      <c r="CM73" s="57"/>
      <c r="CN73" s="57"/>
      <c r="CO73" s="57"/>
      <c r="CP73" s="57"/>
      <c r="CQ73" s="57"/>
      <c r="CR73" s="57"/>
      <c r="CS73" s="57"/>
      <c r="CT73" s="57"/>
      <c r="CU73" s="57"/>
      <c r="CV73" s="57"/>
      <c r="CW73" s="57"/>
    </row>
    <row r="74" ht="15.75" customHeight="1">
      <c r="A74" s="61" t="s">
        <v>121</v>
      </c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7"/>
      <c r="BS74" s="57"/>
      <c r="BT74" s="57"/>
      <c r="BU74" s="57"/>
      <c r="BV74" s="57"/>
      <c r="BW74" s="57"/>
      <c r="BX74" s="57"/>
      <c r="BY74" s="57"/>
      <c r="BZ74" s="57"/>
      <c r="CA74" s="57"/>
      <c r="CB74" s="57"/>
      <c r="CC74" s="57"/>
      <c r="CD74" s="57"/>
      <c r="CE74" s="57"/>
      <c r="CF74" s="57"/>
      <c r="CG74" s="57"/>
      <c r="CH74" s="57"/>
      <c r="CI74" s="57"/>
      <c r="CJ74" s="57"/>
      <c r="CK74" s="57"/>
      <c r="CL74" s="57"/>
      <c r="CM74" s="57"/>
      <c r="CN74" s="57"/>
      <c r="CO74" s="57"/>
      <c r="CP74" s="57"/>
      <c r="CQ74" s="57"/>
      <c r="CR74" s="57"/>
      <c r="CS74" s="57"/>
      <c r="CT74" s="57"/>
      <c r="CU74" s="57"/>
      <c r="CV74" s="57"/>
      <c r="CW74" s="57"/>
    </row>
    <row r="75" ht="15.75" customHeight="1">
      <c r="A75" s="61" t="s">
        <v>121</v>
      </c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/>
      <c r="BV75" s="57"/>
      <c r="BW75" s="57"/>
      <c r="BX75" s="57"/>
      <c r="BY75" s="57"/>
      <c r="BZ75" s="57"/>
      <c r="CA75" s="57"/>
      <c r="CB75" s="57"/>
      <c r="CC75" s="57"/>
      <c r="CD75" s="57"/>
      <c r="CE75" s="57"/>
      <c r="CF75" s="57"/>
      <c r="CG75" s="57"/>
      <c r="CH75" s="57"/>
      <c r="CI75" s="57"/>
      <c r="CJ75" s="57"/>
      <c r="CK75" s="57"/>
      <c r="CL75" s="57"/>
      <c r="CM75" s="57"/>
      <c r="CN75" s="57"/>
      <c r="CO75" s="57"/>
      <c r="CP75" s="57"/>
      <c r="CQ75" s="57"/>
      <c r="CR75" s="57"/>
      <c r="CS75" s="57"/>
      <c r="CT75" s="57"/>
      <c r="CU75" s="57"/>
      <c r="CV75" s="57"/>
      <c r="CW75" s="57"/>
    </row>
    <row r="76" ht="15.75" customHeight="1">
      <c r="A76" s="61" t="s">
        <v>121</v>
      </c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/>
      <c r="BV76" s="57"/>
      <c r="BW76" s="57"/>
      <c r="BX76" s="57"/>
      <c r="BY76" s="57"/>
      <c r="BZ76" s="57"/>
      <c r="CA76" s="57"/>
      <c r="CB76" s="57"/>
      <c r="CC76" s="57"/>
      <c r="CD76" s="57"/>
      <c r="CE76" s="57"/>
      <c r="CF76" s="57"/>
      <c r="CG76" s="57"/>
      <c r="CH76" s="57"/>
      <c r="CI76" s="57"/>
      <c r="CJ76" s="57"/>
      <c r="CK76" s="57"/>
      <c r="CL76" s="57"/>
      <c r="CM76" s="57"/>
      <c r="CN76" s="57"/>
      <c r="CO76" s="57"/>
      <c r="CP76" s="57"/>
      <c r="CQ76" s="57"/>
      <c r="CR76" s="57"/>
      <c r="CS76" s="57"/>
      <c r="CT76" s="57"/>
      <c r="CU76" s="57"/>
      <c r="CV76" s="57"/>
      <c r="CW76" s="57"/>
    </row>
    <row r="77" ht="15.75" customHeight="1">
      <c r="A77" s="61" t="s">
        <v>121</v>
      </c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/>
      <c r="BR77" s="57"/>
      <c r="BS77" s="57"/>
      <c r="BT77" s="57"/>
      <c r="BU77" s="57"/>
      <c r="BV77" s="57"/>
      <c r="BW77" s="57"/>
      <c r="BX77" s="57"/>
      <c r="BY77" s="57"/>
      <c r="BZ77" s="57"/>
      <c r="CA77" s="57"/>
      <c r="CB77" s="57"/>
      <c r="CC77" s="57"/>
      <c r="CD77" s="57"/>
      <c r="CE77" s="57"/>
      <c r="CF77" s="57"/>
      <c r="CG77" s="57"/>
      <c r="CH77" s="57"/>
      <c r="CI77" s="57"/>
      <c r="CJ77" s="57"/>
      <c r="CK77" s="57"/>
      <c r="CL77" s="57"/>
      <c r="CM77" s="57"/>
      <c r="CN77" s="57"/>
      <c r="CO77" s="57"/>
      <c r="CP77" s="57"/>
      <c r="CQ77" s="57"/>
      <c r="CR77" s="57"/>
      <c r="CS77" s="57"/>
      <c r="CT77" s="57"/>
      <c r="CU77" s="57"/>
      <c r="CV77" s="57"/>
      <c r="CW77" s="57"/>
    </row>
    <row r="78" ht="15.75" customHeight="1">
      <c r="A78" s="61" t="s">
        <v>121</v>
      </c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  <c r="BV78" s="57"/>
      <c r="BW78" s="57"/>
      <c r="BX78" s="57"/>
      <c r="BY78" s="57"/>
      <c r="BZ78" s="57"/>
      <c r="CA78" s="57"/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7"/>
      <c r="CS78" s="57"/>
      <c r="CT78" s="57"/>
      <c r="CU78" s="57"/>
      <c r="CV78" s="57"/>
      <c r="CW78" s="57"/>
    </row>
    <row r="79" ht="15.75" customHeight="1">
      <c r="A79" s="61" t="s">
        <v>121</v>
      </c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/>
      <c r="BR79" s="57"/>
      <c r="BS79" s="57"/>
      <c r="BT79" s="57"/>
      <c r="BU79" s="57"/>
      <c r="BV79" s="57"/>
      <c r="BW79" s="57"/>
      <c r="BX79" s="57"/>
      <c r="BY79" s="57"/>
      <c r="BZ79" s="57"/>
      <c r="CA79" s="57"/>
      <c r="CB79" s="57"/>
      <c r="CC79" s="57"/>
      <c r="CD79" s="57"/>
      <c r="CE79" s="57"/>
      <c r="CF79" s="57"/>
      <c r="CG79" s="57"/>
      <c r="CH79" s="57"/>
      <c r="CI79" s="57"/>
      <c r="CJ79" s="57"/>
      <c r="CK79" s="57"/>
      <c r="CL79" s="57"/>
      <c r="CM79" s="57"/>
      <c r="CN79" s="57"/>
      <c r="CO79" s="57"/>
      <c r="CP79" s="57"/>
      <c r="CQ79" s="57"/>
      <c r="CR79" s="57"/>
      <c r="CS79" s="57"/>
      <c r="CT79" s="57"/>
      <c r="CU79" s="57"/>
      <c r="CV79" s="57"/>
      <c r="CW79" s="57"/>
    </row>
    <row r="80" ht="15.75" customHeight="1">
      <c r="A80" s="61" t="s">
        <v>121</v>
      </c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/>
      <c r="BR80" s="57"/>
      <c r="BS80" s="57"/>
      <c r="BT80" s="57"/>
      <c r="BU80" s="57"/>
      <c r="BV80" s="57"/>
      <c r="BW80" s="57"/>
      <c r="BX80" s="57"/>
      <c r="BY80" s="57"/>
      <c r="BZ80" s="57"/>
      <c r="CA80" s="57"/>
      <c r="CB80" s="57"/>
      <c r="CC80" s="57"/>
      <c r="CD80" s="57"/>
      <c r="CE80" s="57"/>
      <c r="CF80" s="57"/>
      <c r="CG80" s="57"/>
      <c r="CH80" s="57"/>
      <c r="CI80" s="57"/>
      <c r="CJ80" s="57"/>
      <c r="CK80" s="57"/>
      <c r="CL80" s="57"/>
      <c r="CM80" s="57"/>
      <c r="CN80" s="57"/>
      <c r="CO80" s="57"/>
      <c r="CP80" s="57"/>
      <c r="CQ80" s="57"/>
      <c r="CR80" s="57"/>
      <c r="CS80" s="57"/>
      <c r="CT80" s="57"/>
      <c r="CU80" s="57"/>
      <c r="CV80" s="57"/>
      <c r="CW80" s="57"/>
    </row>
    <row r="81" ht="15.75" customHeight="1">
      <c r="A81" s="61" t="s">
        <v>121</v>
      </c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/>
      <c r="BR81" s="57"/>
      <c r="BS81" s="57"/>
      <c r="BT81" s="57"/>
      <c r="BU81" s="57"/>
      <c r="BV81" s="57"/>
      <c r="BW81" s="57"/>
      <c r="BX81" s="57"/>
      <c r="BY81" s="57"/>
      <c r="BZ81" s="57"/>
      <c r="CA81" s="57"/>
      <c r="CB81" s="57"/>
      <c r="CC81" s="57"/>
      <c r="CD81" s="57"/>
      <c r="CE81" s="57"/>
      <c r="CF81" s="57"/>
      <c r="CG81" s="57"/>
      <c r="CH81" s="57"/>
      <c r="CI81" s="57"/>
      <c r="CJ81" s="57"/>
      <c r="CK81" s="57"/>
      <c r="CL81" s="57"/>
      <c r="CM81" s="57"/>
      <c r="CN81" s="57"/>
      <c r="CO81" s="57"/>
      <c r="CP81" s="57"/>
      <c r="CQ81" s="57"/>
      <c r="CR81" s="57"/>
      <c r="CS81" s="57"/>
      <c r="CT81" s="57"/>
      <c r="CU81" s="57"/>
      <c r="CV81" s="57"/>
      <c r="CW81" s="57"/>
    </row>
    <row r="82" ht="15.75" customHeight="1">
      <c r="A82" s="61" t="s">
        <v>121</v>
      </c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  <c r="BU82" s="57"/>
      <c r="BV82" s="57"/>
      <c r="BW82" s="57"/>
      <c r="BX82" s="57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7"/>
      <c r="CO82" s="57"/>
      <c r="CP82" s="57"/>
      <c r="CQ82" s="57"/>
      <c r="CR82" s="57"/>
      <c r="CS82" s="57"/>
      <c r="CT82" s="57"/>
      <c r="CU82" s="57"/>
      <c r="CV82" s="57"/>
      <c r="CW82" s="57"/>
    </row>
    <row r="83" ht="15.75" customHeight="1">
      <c r="A83" s="61" t="s">
        <v>121</v>
      </c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  <c r="BU83" s="57"/>
      <c r="BV83" s="57"/>
      <c r="BW83" s="57"/>
      <c r="BX83" s="57"/>
      <c r="BY83" s="57"/>
      <c r="BZ83" s="57"/>
      <c r="CA83" s="57"/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</row>
    <row r="84" ht="15.75" customHeight="1">
      <c r="A84" s="61" t="s">
        <v>121</v>
      </c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  <c r="BU84" s="57"/>
      <c r="BV84" s="57"/>
      <c r="BW84" s="57"/>
      <c r="BX84" s="57"/>
      <c r="BY84" s="57"/>
      <c r="BZ84" s="57"/>
      <c r="CA84" s="57"/>
      <c r="CB84" s="57"/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7"/>
      <c r="CO84" s="57"/>
      <c r="CP84" s="57"/>
      <c r="CQ84" s="57"/>
      <c r="CR84" s="57"/>
      <c r="CS84" s="57"/>
      <c r="CT84" s="57"/>
      <c r="CU84" s="57"/>
      <c r="CV84" s="57"/>
      <c r="CW84" s="57"/>
    </row>
    <row r="85" ht="15.75" customHeight="1">
      <c r="A85" s="61" t="s">
        <v>121</v>
      </c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57"/>
      <c r="BS85" s="57"/>
      <c r="BT85" s="57"/>
      <c r="BU85" s="57"/>
      <c r="BV85" s="57"/>
      <c r="BW85" s="57"/>
      <c r="BX85" s="57"/>
      <c r="BY85" s="57"/>
      <c r="BZ85" s="57"/>
      <c r="CA85" s="57"/>
      <c r="CB85" s="57"/>
      <c r="CC85" s="57"/>
      <c r="CD85" s="57"/>
      <c r="CE85" s="57"/>
      <c r="CF85" s="57"/>
      <c r="CG85" s="57"/>
      <c r="CH85" s="57"/>
      <c r="CI85" s="57"/>
      <c r="CJ85" s="57"/>
      <c r="CK85" s="57"/>
      <c r="CL85" s="57"/>
      <c r="CM85" s="57"/>
      <c r="CN85" s="57"/>
      <c r="CO85" s="57"/>
      <c r="CP85" s="57"/>
      <c r="CQ85" s="57"/>
      <c r="CR85" s="57"/>
      <c r="CS85" s="57"/>
      <c r="CT85" s="57"/>
      <c r="CU85" s="57"/>
      <c r="CV85" s="57"/>
      <c r="CW85" s="57"/>
    </row>
    <row r="86" ht="15.75" customHeight="1">
      <c r="A86" s="61" t="s">
        <v>121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/>
      <c r="BT86" s="57"/>
      <c r="BU86" s="57"/>
      <c r="BV86" s="57"/>
      <c r="BW86" s="57"/>
      <c r="BX86" s="57"/>
      <c r="BY86" s="57"/>
      <c r="BZ86" s="57"/>
      <c r="CA86" s="57"/>
      <c r="CB86" s="57"/>
      <c r="CC86" s="57"/>
      <c r="CD86" s="57"/>
      <c r="CE86" s="57"/>
      <c r="CF86" s="57"/>
      <c r="CG86" s="57"/>
      <c r="CH86" s="57"/>
      <c r="CI86" s="57"/>
      <c r="CJ86" s="57"/>
      <c r="CK86" s="57"/>
      <c r="CL86" s="57"/>
      <c r="CM86" s="57"/>
      <c r="CN86" s="57"/>
      <c r="CO86" s="57"/>
      <c r="CP86" s="57"/>
      <c r="CQ86" s="57"/>
      <c r="CR86" s="57"/>
      <c r="CS86" s="57"/>
      <c r="CT86" s="57"/>
      <c r="CU86" s="57"/>
      <c r="CV86" s="57"/>
      <c r="CW86" s="57"/>
    </row>
    <row r="87" ht="15.75" customHeight="1">
      <c r="A87" s="61" t="s">
        <v>121</v>
      </c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  <c r="BV87" s="57"/>
      <c r="BW87" s="57"/>
      <c r="BX87" s="57"/>
      <c r="BY87" s="57"/>
      <c r="BZ87" s="57"/>
      <c r="CA87" s="57"/>
      <c r="CB87" s="57"/>
      <c r="CC87" s="57"/>
      <c r="CD87" s="57"/>
      <c r="CE87" s="57"/>
      <c r="CF87" s="57"/>
      <c r="CG87" s="57"/>
      <c r="CH87" s="57"/>
      <c r="CI87" s="57"/>
      <c r="CJ87" s="57"/>
      <c r="CK87" s="57"/>
      <c r="CL87" s="57"/>
      <c r="CM87" s="57"/>
      <c r="CN87" s="57"/>
      <c r="CO87" s="57"/>
      <c r="CP87" s="57"/>
      <c r="CQ87" s="57"/>
      <c r="CR87" s="57"/>
      <c r="CS87" s="57"/>
      <c r="CT87" s="57"/>
      <c r="CU87" s="57"/>
      <c r="CV87" s="57"/>
      <c r="CW87" s="57"/>
    </row>
    <row r="88" ht="15.75" customHeight="1">
      <c r="A88" s="61" t="s">
        <v>121</v>
      </c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  <c r="BU88" s="57"/>
      <c r="BV88" s="57"/>
      <c r="BW88" s="57"/>
      <c r="BX88" s="57"/>
      <c r="BY88" s="57"/>
      <c r="BZ88" s="57"/>
      <c r="CA88" s="57"/>
      <c r="CB88" s="57"/>
      <c r="CC88" s="57"/>
      <c r="CD88" s="57"/>
      <c r="CE88" s="57"/>
      <c r="CF88" s="57"/>
      <c r="CG88" s="57"/>
      <c r="CH88" s="57"/>
      <c r="CI88" s="57"/>
      <c r="CJ88" s="57"/>
      <c r="CK88" s="57"/>
      <c r="CL88" s="57"/>
      <c r="CM88" s="57"/>
      <c r="CN88" s="57"/>
      <c r="CO88" s="57"/>
      <c r="CP88" s="57"/>
      <c r="CQ88" s="57"/>
      <c r="CR88" s="57"/>
      <c r="CS88" s="57"/>
      <c r="CT88" s="57"/>
      <c r="CU88" s="57"/>
      <c r="CV88" s="57"/>
      <c r="CW88" s="57"/>
    </row>
    <row r="89" ht="15.75" customHeight="1">
      <c r="A89" s="61" t="s">
        <v>121</v>
      </c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7"/>
      <c r="BS89" s="57"/>
      <c r="BT89" s="57"/>
      <c r="BU89" s="57"/>
      <c r="BV89" s="57"/>
      <c r="BW89" s="57"/>
      <c r="BX89" s="57"/>
      <c r="BY89" s="57"/>
      <c r="BZ89" s="57"/>
      <c r="CA89" s="57"/>
      <c r="CB89" s="57"/>
      <c r="CC89" s="57"/>
      <c r="CD89" s="57"/>
      <c r="CE89" s="57"/>
      <c r="CF89" s="57"/>
      <c r="CG89" s="57"/>
      <c r="CH89" s="57"/>
      <c r="CI89" s="57"/>
      <c r="CJ89" s="57"/>
      <c r="CK89" s="57"/>
      <c r="CL89" s="57"/>
      <c r="CM89" s="57"/>
      <c r="CN89" s="57"/>
      <c r="CO89" s="57"/>
      <c r="CP89" s="57"/>
      <c r="CQ89" s="57"/>
      <c r="CR89" s="57"/>
      <c r="CS89" s="57"/>
      <c r="CT89" s="57"/>
      <c r="CU89" s="57"/>
      <c r="CV89" s="57"/>
      <c r="CW89" s="57"/>
    </row>
    <row r="90" ht="15.75" customHeight="1">
      <c r="A90" s="61" t="s">
        <v>121</v>
      </c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57"/>
      <c r="BS90" s="57"/>
      <c r="BT90" s="57"/>
      <c r="BU90" s="57"/>
      <c r="BV90" s="57"/>
      <c r="BW90" s="57"/>
      <c r="BX90" s="57"/>
      <c r="BY90" s="57"/>
      <c r="BZ90" s="57"/>
      <c r="CA90" s="57"/>
      <c r="CB90" s="57"/>
      <c r="CC90" s="57"/>
      <c r="CD90" s="57"/>
      <c r="CE90" s="57"/>
      <c r="CF90" s="57"/>
      <c r="CG90" s="57"/>
      <c r="CH90" s="57"/>
      <c r="CI90" s="57"/>
      <c r="CJ90" s="57"/>
      <c r="CK90" s="57"/>
      <c r="CL90" s="57"/>
      <c r="CM90" s="57"/>
      <c r="CN90" s="57"/>
      <c r="CO90" s="57"/>
      <c r="CP90" s="57"/>
      <c r="CQ90" s="57"/>
      <c r="CR90" s="57"/>
      <c r="CS90" s="57"/>
      <c r="CT90" s="57"/>
      <c r="CU90" s="57"/>
      <c r="CV90" s="57"/>
      <c r="CW90" s="57"/>
    </row>
    <row r="91" ht="15.75" customHeight="1">
      <c r="A91" s="61" t="s">
        <v>121</v>
      </c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/>
      <c r="BR91" s="57"/>
      <c r="BS91" s="57"/>
      <c r="BT91" s="57"/>
      <c r="BU91" s="57"/>
      <c r="BV91" s="57"/>
      <c r="BW91" s="57"/>
      <c r="BX91" s="57"/>
      <c r="BY91" s="57"/>
      <c r="BZ91" s="57"/>
      <c r="CA91" s="57"/>
      <c r="CB91" s="57"/>
      <c r="CC91" s="57"/>
      <c r="CD91" s="57"/>
      <c r="CE91" s="57"/>
      <c r="CF91" s="57"/>
      <c r="CG91" s="57"/>
      <c r="CH91" s="57"/>
      <c r="CI91" s="57"/>
      <c r="CJ91" s="57"/>
      <c r="CK91" s="57"/>
      <c r="CL91" s="57"/>
      <c r="CM91" s="57"/>
      <c r="CN91" s="57"/>
      <c r="CO91" s="57"/>
      <c r="CP91" s="57"/>
      <c r="CQ91" s="57"/>
      <c r="CR91" s="57"/>
      <c r="CS91" s="57"/>
      <c r="CT91" s="57"/>
      <c r="CU91" s="57"/>
      <c r="CV91" s="57"/>
      <c r="CW91" s="57"/>
    </row>
    <row r="92" ht="15.75" customHeight="1">
      <c r="A92" s="61" t="s">
        <v>121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57"/>
      <c r="BH92" s="57"/>
      <c r="BI92" s="57"/>
      <c r="BJ92" s="57"/>
      <c r="BK92" s="57"/>
      <c r="BL92" s="57"/>
      <c r="BM92" s="57"/>
      <c r="BN92" s="57"/>
      <c r="BO92" s="57"/>
      <c r="BP92" s="57"/>
      <c r="BQ92" s="57"/>
      <c r="BR92" s="57"/>
      <c r="BS92" s="57"/>
      <c r="BT92" s="57"/>
      <c r="BU92" s="57"/>
      <c r="BV92" s="57"/>
      <c r="BW92" s="57"/>
      <c r="BX92" s="57"/>
      <c r="BY92" s="57"/>
      <c r="BZ92" s="57"/>
      <c r="CA92" s="57"/>
      <c r="CB92" s="57"/>
      <c r="CC92" s="57"/>
      <c r="CD92" s="57"/>
      <c r="CE92" s="57"/>
      <c r="CF92" s="57"/>
      <c r="CG92" s="57"/>
      <c r="CH92" s="57"/>
      <c r="CI92" s="57"/>
      <c r="CJ92" s="57"/>
      <c r="CK92" s="57"/>
      <c r="CL92" s="57"/>
      <c r="CM92" s="57"/>
      <c r="CN92" s="57"/>
      <c r="CO92" s="57"/>
      <c r="CP92" s="57"/>
      <c r="CQ92" s="57"/>
      <c r="CR92" s="57"/>
      <c r="CS92" s="57"/>
      <c r="CT92" s="57"/>
      <c r="CU92" s="57"/>
      <c r="CV92" s="57"/>
      <c r="CW92" s="57"/>
    </row>
    <row r="93" ht="15.75" customHeight="1">
      <c r="A93" s="61" t="s">
        <v>121</v>
      </c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  <c r="BU93" s="57"/>
      <c r="BV93" s="57"/>
      <c r="BW93" s="57"/>
      <c r="BX93" s="57"/>
      <c r="BY93" s="57"/>
      <c r="BZ93" s="57"/>
      <c r="CA93" s="57"/>
      <c r="CB93" s="57"/>
      <c r="CC93" s="57"/>
      <c r="CD93" s="57"/>
      <c r="CE93" s="57"/>
      <c r="CF93" s="57"/>
      <c r="CG93" s="57"/>
      <c r="CH93" s="57"/>
      <c r="CI93" s="57"/>
      <c r="CJ93" s="57"/>
      <c r="CK93" s="57"/>
      <c r="CL93" s="57"/>
      <c r="CM93" s="57"/>
      <c r="CN93" s="57"/>
      <c r="CO93" s="57"/>
      <c r="CP93" s="57"/>
      <c r="CQ93" s="57"/>
      <c r="CR93" s="57"/>
      <c r="CS93" s="57"/>
      <c r="CT93" s="57"/>
      <c r="CU93" s="57"/>
      <c r="CV93" s="57"/>
      <c r="CW93" s="57"/>
    </row>
    <row r="94" ht="15.75" customHeight="1">
      <c r="A94" s="61" t="s">
        <v>121</v>
      </c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7"/>
      <c r="CO94" s="57"/>
      <c r="CP94" s="57"/>
      <c r="CQ94" s="57"/>
      <c r="CR94" s="57"/>
      <c r="CS94" s="57"/>
      <c r="CT94" s="57"/>
      <c r="CU94" s="57"/>
      <c r="CV94" s="57"/>
      <c r="CW94" s="57"/>
    </row>
    <row r="95" ht="15.75" customHeight="1">
      <c r="A95" s="61" t="s">
        <v>121</v>
      </c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  <c r="BV95" s="57"/>
      <c r="BW95" s="57"/>
      <c r="BX95" s="57"/>
      <c r="BY95" s="57"/>
      <c r="BZ95" s="57"/>
      <c r="CA95" s="57"/>
      <c r="CB95" s="57"/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7"/>
      <c r="CO95" s="57"/>
      <c r="CP95" s="57"/>
      <c r="CQ95" s="57"/>
      <c r="CR95" s="57"/>
      <c r="CS95" s="57"/>
      <c r="CT95" s="57"/>
      <c r="CU95" s="57"/>
      <c r="CV95" s="57"/>
      <c r="CW95" s="57"/>
    </row>
    <row r="96" ht="15.75" customHeight="1">
      <c r="A96" s="61" t="s">
        <v>121</v>
      </c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/>
      <c r="CQ96" s="57"/>
      <c r="CR96" s="57"/>
      <c r="CS96" s="57"/>
      <c r="CT96" s="57"/>
      <c r="CU96" s="57"/>
      <c r="CV96" s="57"/>
      <c r="CW96" s="57"/>
    </row>
    <row r="97" ht="15.75" customHeight="1">
      <c r="A97" s="61" t="s">
        <v>121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  <c r="BU97" s="57"/>
      <c r="BV97" s="57"/>
      <c r="BW97" s="57"/>
      <c r="BX97" s="57"/>
      <c r="BY97" s="57"/>
      <c r="BZ97" s="57"/>
      <c r="CA97" s="57"/>
      <c r="CB97" s="57"/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7"/>
      <c r="CO97" s="57"/>
      <c r="CP97" s="57"/>
      <c r="CQ97" s="57"/>
      <c r="CR97" s="57"/>
      <c r="CS97" s="57"/>
      <c r="CT97" s="57"/>
      <c r="CU97" s="57"/>
      <c r="CV97" s="57"/>
      <c r="CW97" s="57"/>
    </row>
    <row r="98" ht="15.75" customHeight="1">
      <c r="A98" s="61" t="s">
        <v>121</v>
      </c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  <c r="BU98" s="57"/>
      <c r="BV98" s="57"/>
      <c r="BW98" s="57"/>
      <c r="BX98" s="57"/>
      <c r="BY98" s="57"/>
      <c r="BZ98" s="57"/>
      <c r="CA98" s="57"/>
      <c r="CB98" s="57"/>
      <c r="CC98" s="57"/>
      <c r="CD98" s="57"/>
      <c r="CE98" s="57"/>
      <c r="CF98" s="57"/>
      <c r="CG98" s="57"/>
      <c r="CH98" s="57"/>
      <c r="CI98" s="57"/>
      <c r="CJ98" s="57"/>
      <c r="CK98" s="57"/>
      <c r="CL98" s="57"/>
      <c r="CM98" s="57"/>
      <c r="CN98" s="57"/>
      <c r="CO98" s="57"/>
      <c r="CP98" s="57"/>
      <c r="CQ98" s="57"/>
      <c r="CR98" s="57"/>
      <c r="CS98" s="57"/>
      <c r="CT98" s="57"/>
      <c r="CU98" s="57"/>
      <c r="CV98" s="57"/>
      <c r="CW98" s="57"/>
    </row>
    <row r="99" ht="15.75" customHeight="1">
      <c r="A99" s="61" t="s">
        <v>121</v>
      </c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57"/>
      <c r="BS99" s="57"/>
      <c r="BT99" s="57"/>
      <c r="BU99" s="57"/>
      <c r="BV99" s="57"/>
      <c r="BW99" s="57"/>
      <c r="BX99" s="57"/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  <c r="CJ99" s="57"/>
      <c r="CK99" s="57"/>
      <c r="CL99" s="57"/>
      <c r="CM99" s="57"/>
      <c r="CN99" s="57"/>
      <c r="CO99" s="57"/>
      <c r="CP99" s="57"/>
      <c r="CQ99" s="57"/>
      <c r="CR99" s="57"/>
      <c r="CS99" s="57"/>
      <c r="CT99" s="57"/>
      <c r="CU99" s="57"/>
      <c r="CV99" s="57"/>
      <c r="CW99" s="57"/>
    </row>
    <row r="100" ht="15.75" customHeight="1">
      <c r="A100" s="61" t="s">
        <v>121</v>
      </c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/>
      <c r="CO100" s="57"/>
      <c r="CP100" s="57"/>
      <c r="CQ100" s="57"/>
      <c r="CR100" s="57"/>
      <c r="CS100" s="57"/>
      <c r="CT100" s="57"/>
      <c r="CU100" s="57"/>
      <c r="CV100" s="57"/>
      <c r="CW100" s="57"/>
    </row>
    <row r="101" ht="15.75" customHeight="1">
      <c r="A101" s="61" t="s">
        <v>121</v>
      </c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  <c r="BS101" s="57"/>
      <c r="BT101" s="57"/>
      <c r="BU101" s="57"/>
      <c r="BV101" s="57"/>
      <c r="BW101" s="57"/>
      <c r="BX101" s="57"/>
      <c r="BY101" s="57"/>
      <c r="BZ101" s="57"/>
      <c r="CA101" s="57"/>
      <c r="CB101" s="57"/>
      <c r="CC101" s="57"/>
      <c r="CD101" s="57"/>
      <c r="CE101" s="57"/>
      <c r="CF101" s="57"/>
      <c r="CG101" s="57"/>
      <c r="CH101" s="57"/>
      <c r="CI101" s="57"/>
      <c r="CJ101" s="57"/>
      <c r="CK101" s="57"/>
      <c r="CL101" s="57"/>
      <c r="CM101" s="57"/>
      <c r="CN101" s="57"/>
      <c r="CO101" s="57"/>
      <c r="CP101" s="57"/>
      <c r="CQ101" s="57"/>
      <c r="CR101" s="57"/>
      <c r="CS101" s="57"/>
      <c r="CT101" s="57"/>
      <c r="CU101" s="57"/>
      <c r="CV101" s="57"/>
      <c r="CW101" s="57"/>
    </row>
    <row r="102" ht="15.75" customHeight="1">
      <c r="A102" s="61" t="s">
        <v>121</v>
      </c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/>
      <c r="BF102" s="57"/>
      <c r="BG102" s="57"/>
      <c r="BH102" s="57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  <c r="BS102" s="57"/>
      <c r="BT102" s="57"/>
      <c r="BU102" s="57"/>
      <c r="BV102" s="57"/>
      <c r="BW102" s="57"/>
      <c r="BX102" s="57"/>
      <c r="BY102" s="57"/>
      <c r="BZ102" s="57"/>
      <c r="CA102" s="57"/>
      <c r="CB102" s="57"/>
      <c r="CC102" s="57"/>
      <c r="CD102" s="57"/>
      <c r="CE102" s="57"/>
      <c r="CF102" s="57"/>
      <c r="CG102" s="57"/>
      <c r="CH102" s="57"/>
      <c r="CI102" s="57"/>
      <c r="CJ102" s="57"/>
      <c r="CK102" s="57"/>
      <c r="CL102" s="57"/>
      <c r="CM102" s="57"/>
      <c r="CN102" s="57"/>
      <c r="CO102" s="57"/>
      <c r="CP102" s="57"/>
      <c r="CQ102" s="57"/>
      <c r="CR102" s="57"/>
      <c r="CS102" s="57"/>
      <c r="CT102" s="57"/>
      <c r="CU102" s="57"/>
      <c r="CV102" s="57"/>
      <c r="CW102" s="57"/>
    </row>
    <row r="103" ht="15.75" customHeight="1">
      <c r="A103" s="61" t="str">
        <f>IF('1_Cadastramento'!$F$103="","",'1_Cadastramento'!$F$103)</f>
        <v/>
      </c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  <c r="BS103" s="57"/>
      <c r="BT103" s="57"/>
      <c r="BU103" s="57"/>
      <c r="BV103" s="57"/>
      <c r="BW103" s="57"/>
      <c r="BX103" s="57"/>
      <c r="BY103" s="57"/>
      <c r="BZ103" s="57"/>
      <c r="CA103" s="57"/>
      <c r="CB103" s="57"/>
      <c r="CC103" s="57"/>
      <c r="CD103" s="57"/>
      <c r="CE103" s="57"/>
      <c r="CF103" s="57"/>
      <c r="CG103" s="57"/>
      <c r="CH103" s="57"/>
      <c r="CI103" s="57"/>
      <c r="CJ103" s="57"/>
      <c r="CK103" s="57"/>
      <c r="CL103" s="57"/>
      <c r="CM103" s="57"/>
      <c r="CN103" s="57"/>
      <c r="CO103" s="57"/>
      <c r="CP103" s="57"/>
      <c r="CQ103" s="57"/>
      <c r="CR103" s="57"/>
      <c r="CS103" s="57"/>
      <c r="CT103" s="57"/>
      <c r="CU103" s="57"/>
      <c r="CV103" s="57"/>
      <c r="CW103" s="57"/>
    </row>
    <row r="104" ht="15.75" customHeight="1">
      <c r="A104" s="6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</row>
    <row r="105" ht="15.75" customHeight="1">
      <c r="A105" s="6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</row>
    <row r="106" ht="15.75" customHeight="1">
      <c r="A106" s="6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</row>
    <row r="107" ht="15.75" customHeight="1">
      <c r="A107" s="6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</row>
    <row r="108" ht="15.75" customHeight="1">
      <c r="A108" s="6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</row>
    <row r="109" ht="15.75" customHeight="1">
      <c r="A109" s="6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</row>
    <row r="110" ht="15.75" customHeight="1">
      <c r="A110" s="6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</row>
    <row r="111" ht="15.75" customHeight="1">
      <c r="A111" s="6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</row>
    <row r="112" ht="15.75" customHeight="1">
      <c r="A112" s="6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</row>
    <row r="113" ht="15.75" customHeight="1">
      <c r="A113" s="6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</row>
    <row r="114" ht="15.75" customHeight="1">
      <c r="A114" s="6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</row>
    <row r="115" ht="15.75" customHeight="1">
      <c r="A115" s="6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</row>
    <row r="116" ht="15.75" customHeight="1">
      <c r="A116" s="6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</row>
    <row r="117" ht="15.75" customHeight="1">
      <c r="A117" s="6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</row>
    <row r="118" ht="15.75" customHeight="1">
      <c r="A118" s="6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</row>
    <row r="119" ht="15.75" customHeight="1">
      <c r="A119" s="6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</row>
    <row r="120" ht="15.75" customHeight="1">
      <c r="A120" s="6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</row>
    <row r="121" ht="15.75" customHeight="1">
      <c r="A121" s="6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</row>
    <row r="122" ht="15.75" customHeight="1">
      <c r="A122" s="6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</row>
    <row r="123" ht="15.75" customHeight="1">
      <c r="A123" s="6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</row>
    <row r="124" ht="15.75" customHeight="1">
      <c r="A124" s="6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</row>
    <row r="125" ht="15.75" customHeight="1">
      <c r="A125" s="6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</row>
    <row r="126" ht="15.75" customHeight="1">
      <c r="A126" s="6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</row>
    <row r="127" ht="15.75" customHeight="1">
      <c r="A127" s="6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</row>
    <row r="128" ht="15.75" customHeight="1">
      <c r="A128" s="6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</row>
    <row r="129" ht="15.75" customHeight="1">
      <c r="A129" s="6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</row>
    <row r="130" ht="15.75" customHeight="1">
      <c r="A130" s="6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</row>
    <row r="131" ht="15.75" customHeight="1">
      <c r="A131" s="6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</row>
    <row r="132" ht="15.75" customHeight="1">
      <c r="A132" s="6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</row>
    <row r="133" ht="15.75" customHeight="1">
      <c r="A133" s="6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</row>
    <row r="134" ht="15.75" customHeight="1">
      <c r="A134" s="6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</row>
    <row r="135" ht="15.75" customHeight="1">
      <c r="A135" s="6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</row>
    <row r="136" ht="15.75" customHeight="1">
      <c r="A136" s="6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</row>
    <row r="137" ht="15.75" customHeight="1">
      <c r="A137" s="6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</row>
    <row r="138" ht="15.75" customHeight="1">
      <c r="A138" s="6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</row>
    <row r="139" ht="15.75" customHeight="1">
      <c r="A139" s="6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</row>
    <row r="140" ht="15.75" customHeight="1">
      <c r="A140" s="6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</row>
    <row r="141" ht="15.75" customHeight="1">
      <c r="A141" s="6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</row>
    <row r="142" ht="15.75" customHeight="1">
      <c r="A142" s="6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</row>
    <row r="143" ht="15.75" customHeight="1">
      <c r="A143" s="6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</row>
    <row r="144" ht="15.75" customHeight="1">
      <c r="A144" s="6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</row>
    <row r="145" ht="15.75" customHeight="1">
      <c r="A145" s="6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</row>
    <row r="146" ht="15.75" customHeight="1">
      <c r="A146" s="6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</row>
    <row r="147" ht="15.75" customHeight="1">
      <c r="A147" s="6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</row>
    <row r="148" ht="15.75" customHeight="1">
      <c r="A148" s="6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</row>
    <row r="149" ht="15.75" customHeight="1">
      <c r="A149" s="6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</row>
    <row r="150" ht="15.75" customHeight="1">
      <c r="A150" s="6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</row>
    <row r="151" ht="15.75" customHeight="1">
      <c r="A151" s="6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</row>
    <row r="152" ht="15.75" customHeight="1">
      <c r="A152" s="6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</row>
    <row r="153" ht="15.75" customHeight="1">
      <c r="A153" s="6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</row>
    <row r="154" ht="15.75" customHeight="1">
      <c r="A154" s="6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</row>
    <row r="155" ht="15.75" customHeight="1">
      <c r="A155" s="6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</row>
    <row r="156" ht="15.75" customHeight="1">
      <c r="A156" s="6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</row>
    <row r="157" ht="15.75" customHeight="1">
      <c r="A157" s="6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</row>
    <row r="158" ht="15.75" customHeight="1">
      <c r="A158" s="6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</row>
    <row r="159" ht="15.75" customHeight="1">
      <c r="A159" s="6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</row>
    <row r="160" ht="15.75" customHeight="1">
      <c r="A160" s="6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</row>
    <row r="161" ht="15.75" customHeight="1">
      <c r="A161" s="6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</row>
    <row r="162" ht="15.75" customHeight="1">
      <c r="A162" s="6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</row>
    <row r="163" ht="15.75" customHeight="1">
      <c r="A163" s="6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</row>
    <row r="164" ht="15.75" customHeight="1">
      <c r="A164" s="6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</row>
    <row r="165" ht="15.75" customHeight="1">
      <c r="A165" s="6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</row>
    <row r="166" ht="15.75" customHeight="1">
      <c r="A166" s="6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</row>
    <row r="167" ht="15.75" customHeight="1">
      <c r="A167" s="6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</row>
    <row r="168" ht="15.75" customHeight="1">
      <c r="A168" s="6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</row>
    <row r="169" ht="15.75" customHeight="1">
      <c r="A169" s="6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</row>
    <row r="170" ht="15.75" customHeight="1">
      <c r="A170" s="6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</row>
    <row r="171" ht="15.75" customHeight="1">
      <c r="A171" s="6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</row>
    <row r="172" ht="15.75" customHeight="1">
      <c r="A172" s="6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</row>
    <row r="173" ht="15.75" customHeight="1">
      <c r="A173" s="6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</row>
    <row r="174" ht="15.75" customHeight="1">
      <c r="A174" s="6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</row>
    <row r="175" ht="15.75" customHeight="1">
      <c r="A175" s="6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</row>
    <row r="176" ht="15.75" customHeight="1">
      <c r="A176" s="6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</row>
    <row r="177" ht="15.75" customHeight="1">
      <c r="A177" s="6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</row>
    <row r="178" ht="15.75" customHeight="1">
      <c r="A178" s="6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</row>
    <row r="179" ht="15.75" customHeight="1">
      <c r="A179" s="6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</row>
    <row r="180" ht="15.75" customHeight="1">
      <c r="A180" s="6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</row>
    <row r="181" ht="15.75" customHeight="1">
      <c r="A181" s="6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</row>
    <row r="182" ht="15.75" customHeight="1">
      <c r="A182" s="6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</row>
    <row r="183" ht="15.75" customHeight="1">
      <c r="A183" s="6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</row>
    <row r="184" ht="15.75" customHeight="1">
      <c r="A184" s="6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</row>
    <row r="185" ht="15.75" customHeight="1">
      <c r="A185" s="6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</row>
    <row r="186" ht="15.75" customHeight="1">
      <c r="A186" s="6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</row>
    <row r="187" ht="15.75" customHeight="1">
      <c r="A187" s="6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</row>
    <row r="188" ht="15.75" customHeight="1">
      <c r="A188" s="6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</row>
    <row r="189" ht="15.75" customHeight="1">
      <c r="A189" s="6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</row>
    <row r="190" ht="15.75" customHeight="1">
      <c r="A190" s="6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</row>
    <row r="191" ht="15.75" customHeight="1">
      <c r="A191" s="6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</row>
    <row r="192" ht="15.75" customHeight="1">
      <c r="A192" s="6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</row>
    <row r="193" ht="15.75" customHeight="1">
      <c r="A193" s="6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</row>
    <row r="194" ht="15.75" customHeight="1">
      <c r="A194" s="6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</row>
    <row r="195" ht="15.75" customHeight="1">
      <c r="A195" s="6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</row>
    <row r="196" ht="15.75" customHeight="1">
      <c r="A196" s="6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</row>
    <row r="197" ht="15.75" customHeight="1">
      <c r="A197" s="6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</row>
    <row r="198" ht="15.75" customHeight="1">
      <c r="A198" s="6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</row>
    <row r="199" ht="15.75" customHeight="1">
      <c r="A199" s="6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</row>
    <row r="200" ht="15.75" customHeight="1">
      <c r="A200" s="6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</row>
    <row r="201" ht="15.75" customHeight="1">
      <c r="A201" s="6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</row>
    <row r="202" ht="15.75" customHeight="1">
      <c r="A202" s="6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</row>
    <row r="203" ht="15.75" customHeight="1">
      <c r="A203" s="6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</row>
    <row r="204" ht="15.75" customHeight="1">
      <c r="A204" s="6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</row>
    <row r="205" ht="15.75" customHeight="1">
      <c r="A205" s="6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</row>
    <row r="206" ht="15.75" customHeight="1">
      <c r="A206" s="6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</row>
    <row r="207" ht="15.75" customHeight="1">
      <c r="A207" s="6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</row>
    <row r="208" ht="15.75" customHeight="1">
      <c r="A208" s="6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</row>
    <row r="209" ht="15.75" customHeight="1">
      <c r="A209" s="6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</row>
    <row r="210" ht="15.75" customHeight="1">
      <c r="A210" s="6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</row>
    <row r="211" ht="15.75" customHeight="1">
      <c r="A211" s="6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</row>
    <row r="212" ht="15.75" customHeight="1">
      <c r="A212" s="6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</row>
    <row r="213" ht="15.75" customHeight="1">
      <c r="A213" s="6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</row>
    <row r="214" ht="15.75" customHeight="1">
      <c r="A214" s="6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</row>
    <row r="215" ht="15.75" customHeight="1">
      <c r="A215" s="6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</row>
    <row r="216" ht="15.75" customHeight="1">
      <c r="A216" s="6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</row>
    <row r="217" ht="15.75" customHeight="1">
      <c r="A217" s="6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</row>
    <row r="218" ht="15.75" customHeight="1">
      <c r="A218" s="6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</row>
    <row r="219" ht="15.75" customHeight="1">
      <c r="A219" s="6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</row>
    <row r="220" ht="15.75" customHeight="1">
      <c r="A220" s="6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</row>
    <row r="221" ht="15.75" customHeight="1">
      <c r="A221" s="6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</row>
    <row r="222" ht="15.75" customHeight="1">
      <c r="A222" s="6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</row>
    <row r="223" ht="15.75" customHeight="1">
      <c r="A223" s="6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</row>
    <row r="224" ht="15.75" customHeight="1">
      <c r="A224" s="6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</row>
    <row r="225" ht="15.75" customHeight="1">
      <c r="A225" s="6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</row>
    <row r="226" ht="15.75" customHeight="1">
      <c r="A226" s="6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</row>
    <row r="227" ht="15.75" customHeight="1">
      <c r="A227" s="6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</row>
    <row r="228" ht="15.75" customHeight="1">
      <c r="A228" s="6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</row>
    <row r="229" ht="15.75" customHeight="1">
      <c r="A229" s="6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</row>
    <row r="230" ht="15.75" customHeight="1">
      <c r="A230" s="6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</row>
    <row r="231" ht="15.75" customHeight="1">
      <c r="A231" s="6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</row>
    <row r="232" ht="15.75" customHeight="1">
      <c r="A232" s="6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</row>
    <row r="233" ht="15.75" customHeight="1">
      <c r="A233" s="6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</row>
    <row r="234" ht="15.75" customHeight="1">
      <c r="A234" s="6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</row>
    <row r="235" ht="15.75" customHeight="1">
      <c r="A235" s="6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</row>
    <row r="236" ht="15.75" customHeight="1">
      <c r="A236" s="6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</row>
    <row r="237" ht="15.75" customHeight="1">
      <c r="A237" s="6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</row>
    <row r="238" ht="15.75" customHeight="1">
      <c r="A238" s="6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</row>
    <row r="239" ht="15.75" customHeight="1">
      <c r="A239" s="6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</row>
    <row r="240" ht="15.75" customHeight="1">
      <c r="A240" s="6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</row>
    <row r="241" ht="15.75" customHeight="1">
      <c r="A241" s="6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</row>
    <row r="242" ht="15.75" customHeight="1">
      <c r="A242" s="6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</row>
    <row r="243" ht="15.75" customHeight="1">
      <c r="A243" s="6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</row>
    <row r="244" ht="15.75" customHeight="1">
      <c r="A244" s="6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</row>
    <row r="245" ht="15.75" customHeight="1">
      <c r="A245" s="6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</row>
    <row r="246" ht="15.75" customHeight="1">
      <c r="A246" s="6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</row>
    <row r="247" ht="15.75" customHeight="1">
      <c r="A247" s="6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</row>
    <row r="248" ht="15.75" customHeight="1">
      <c r="A248" s="6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</row>
    <row r="249" ht="15.75" customHeight="1">
      <c r="A249" s="6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</row>
    <row r="250" ht="15.75" customHeight="1">
      <c r="A250" s="6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</row>
    <row r="251" ht="15.75" customHeight="1">
      <c r="A251" s="6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</row>
    <row r="252" ht="15.75" customHeight="1">
      <c r="A252" s="6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</row>
    <row r="253" ht="15.75" customHeight="1">
      <c r="A253" s="6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</row>
    <row r="254" ht="15.75" customHeight="1">
      <c r="A254" s="6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</row>
    <row r="255" ht="15.75" customHeight="1">
      <c r="A255" s="6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</row>
    <row r="256" ht="15.75" customHeight="1">
      <c r="A256" s="6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</row>
    <row r="257" ht="15.75" customHeight="1">
      <c r="A257" s="6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</row>
    <row r="258" ht="15.75" customHeight="1">
      <c r="A258" s="6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</row>
    <row r="259" ht="15.75" customHeight="1">
      <c r="A259" s="6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</row>
    <row r="260" ht="15.75" customHeight="1">
      <c r="A260" s="6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</row>
    <row r="261" ht="15.75" customHeight="1">
      <c r="A261" s="6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</row>
    <row r="262" ht="15.75" customHeight="1">
      <c r="A262" s="6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</row>
    <row r="263" ht="15.75" customHeight="1">
      <c r="A263" s="6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</row>
    <row r="264" ht="15.75" customHeight="1">
      <c r="A264" s="6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</row>
    <row r="265" ht="15.75" customHeight="1">
      <c r="A265" s="6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</row>
    <row r="266" ht="15.75" customHeight="1">
      <c r="A266" s="6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</row>
    <row r="267" ht="15.75" customHeight="1">
      <c r="A267" s="6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</row>
    <row r="268" ht="15.75" customHeight="1">
      <c r="A268" s="6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</row>
    <row r="269" ht="15.75" customHeight="1">
      <c r="A269" s="6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</row>
    <row r="270" ht="15.75" customHeight="1">
      <c r="A270" s="6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</row>
    <row r="271" ht="15.75" customHeight="1">
      <c r="A271" s="6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</row>
    <row r="272" ht="15.75" customHeight="1">
      <c r="A272" s="6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</row>
    <row r="273" ht="15.75" customHeight="1">
      <c r="A273" s="6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</row>
    <row r="274" ht="15.75" customHeight="1">
      <c r="A274" s="6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</row>
    <row r="275" ht="15.75" customHeight="1">
      <c r="A275" s="6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</row>
    <row r="276" ht="15.75" customHeight="1">
      <c r="A276" s="6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</row>
    <row r="277" ht="15.75" customHeight="1">
      <c r="A277" s="6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</row>
    <row r="278" ht="15.75" customHeight="1">
      <c r="A278" s="6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</row>
    <row r="279" ht="15.75" customHeight="1">
      <c r="A279" s="6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</row>
    <row r="280" ht="15.75" customHeight="1">
      <c r="A280" s="6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</row>
    <row r="281" ht="15.75" customHeight="1">
      <c r="A281" s="6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</row>
    <row r="282" ht="15.75" customHeight="1">
      <c r="A282" s="6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</row>
    <row r="283" ht="15.75" customHeight="1">
      <c r="A283" s="6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</row>
    <row r="284" ht="15.75" customHeight="1">
      <c r="A284" s="6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</row>
    <row r="285" ht="15.75" customHeight="1">
      <c r="A285" s="6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</row>
    <row r="286" ht="15.75" customHeight="1">
      <c r="A286" s="6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</row>
    <row r="287" ht="15.75" customHeight="1">
      <c r="A287" s="6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</row>
    <row r="288" ht="15.75" customHeight="1">
      <c r="A288" s="6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</row>
    <row r="289" ht="15.75" customHeight="1">
      <c r="A289" s="6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</row>
    <row r="290" ht="15.75" customHeight="1">
      <c r="A290" s="6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</row>
    <row r="291" ht="15.75" customHeight="1">
      <c r="A291" s="6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</row>
    <row r="292" ht="15.75" customHeight="1">
      <c r="A292" s="6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</row>
    <row r="293" ht="15.75" customHeight="1">
      <c r="A293" s="6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</row>
    <row r="294" ht="15.75" customHeight="1">
      <c r="A294" s="6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</row>
    <row r="295" ht="15.75" customHeight="1">
      <c r="A295" s="6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</row>
    <row r="296" ht="15.75" customHeight="1">
      <c r="A296" s="6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</row>
    <row r="297" ht="15.75" customHeight="1">
      <c r="A297" s="6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</row>
    <row r="298" ht="15.75" customHeight="1">
      <c r="A298" s="6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</row>
    <row r="299" ht="15.75" customHeight="1">
      <c r="A299" s="6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</row>
    <row r="300" ht="15.75" customHeight="1">
      <c r="A300" s="6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</row>
    <row r="301" ht="15.75" customHeight="1">
      <c r="A301" s="6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</row>
    <row r="302" ht="15.75" customHeight="1">
      <c r="A302" s="6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</row>
    <row r="303" ht="15.75" customHeight="1">
      <c r="A303" s="6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</row>
  </sheetData>
  <mergeCells count="1">
    <mergeCell ref="A1:N1"/>
  </mergeCells>
  <conditionalFormatting sqref="B3:M13 B14:K17 B22:K38">
    <cfRule type="containsText" dxfId="0" priority="1" operator="containsText" text="ADALGIZA">
      <formula>NOT(ISERROR(SEARCH(("ADALGIZA"),(B3))))</formula>
    </cfRule>
  </conditionalFormatting>
  <conditionalFormatting sqref="B18:M19">
    <cfRule type="containsText" dxfId="0" priority="2" operator="containsText" text="ADALGIZA">
      <formula>NOT(ISERROR(SEARCH(("ADALGIZA"),(B18))))</formula>
    </cfRule>
  </conditionalFormatting>
  <conditionalFormatting sqref="N17:P17">
    <cfRule type="containsText" dxfId="0" priority="3" operator="containsText" text="ADALGIZA">
      <formula>NOT(ISERROR(SEARCH(("ADALGIZA"),(N17))))</formula>
    </cfRule>
  </conditionalFormatting>
  <dataValidations>
    <dataValidation type="list" allowBlank="1" showErrorMessage="1" sqref="B3:CW19 AC20:CW21 B22:Y27 AA22:CW27 B28:CW103">
      <formula1>'1_Cadastramento'!$A$3:$A$101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7.57"/>
    <col customWidth="1" min="3" max="3" width="9.14"/>
    <col customWidth="1" min="4" max="4" width="8.71"/>
    <col customWidth="1" min="5" max="5" width="7.71"/>
    <col customWidth="1" min="6" max="6" width="10.86"/>
    <col customWidth="1" min="7" max="7" width="9.29"/>
    <col customWidth="1" min="8" max="8" width="9.14"/>
    <col customWidth="1" min="9" max="13" width="3.29"/>
    <col customWidth="1" min="14" max="14" width="9.0"/>
    <col customWidth="1" min="15" max="15" width="10.57"/>
    <col customWidth="1" min="16" max="16" width="13.29"/>
    <col customWidth="1" min="17" max="28" width="3.29"/>
    <col customWidth="1" min="29" max="30" width="4.29"/>
    <col customWidth="1" min="31" max="101" width="2.43"/>
  </cols>
  <sheetData>
    <row r="1" ht="57.75" customHeight="1">
      <c r="A1" s="62" t="s">
        <v>124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</row>
    <row r="2">
      <c r="A2" s="63" t="s">
        <v>125</v>
      </c>
      <c r="B2" s="55">
        <f t="array" ref="B2:CW2">TRANSPOSE(IF('1_Cadastramento'!C3:C104="","",'1_Cadastramento'!C3:C104))</f>
        <v>11</v>
      </c>
      <c r="C2" s="55">
        <v>12.0</v>
      </c>
      <c r="D2" s="55">
        <v>13.0</v>
      </c>
      <c r="E2" s="55">
        <v>21.0</v>
      </c>
      <c r="F2" s="55">
        <v>22.0</v>
      </c>
      <c r="G2" s="64">
        <v>23.0</v>
      </c>
      <c r="H2" s="64">
        <v>31.0</v>
      </c>
      <c r="I2" s="64">
        <v>32.0</v>
      </c>
      <c r="J2" s="64">
        <v>33.0</v>
      </c>
      <c r="K2" s="64">
        <v>41.0</v>
      </c>
      <c r="L2" s="64">
        <v>42.0</v>
      </c>
      <c r="M2" s="64">
        <v>43.0</v>
      </c>
      <c r="N2" s="64">
        <v>51.0</v>
      </c>
      <c r="O2" s="64">
        <v>52.0</v>
      </c>
      <c r="P2" s="64">
        <v>53.0</v>
      </c>
      <c r="Q2" s="64">
        <v>61.0</v>
      </c>
      <c r="R2" s="64">
        <v>62.0</v>
      </c>
      <c r="S2" s="64">
        <v>63.0</v>
      </c>
      <c r="T2" s="64">
        <v>71.0</v>
      </c>
      <c r="U2" s="64">
        <v>72.0</v>
      </c>
      <c r="V2" s="64">
        <v>73.0</v>
      </c>
      <c r="W2" s="64">
        <v>81.0</v>
      </c>
      <c r="X2" s="64">
        <v>82.0</v>
      </c>
      <c r="Y2" s="64">
        <v>83.0</v>
      </c>
      <c r="Z2" s="64">
        <v>91.0</v>
      </c>
      <c r="AA2" s="64">
        <v>92.0</v>
      </c>
      <c r="AB2" s="64">
        <v>93.0</v>
      </c>
      <c r="AC2" s="64" t="s">
        <v>121</v>
      </c>
      <c r="AD2" s="64" t="s">
        <v>121</v>
      </c>
      <c r="AE2" s="64" t="s">
        <v>121</v>
      </c>
      <c r="AF2" s="64" t="s">
        <v>121</v>
      </c>
      <c r="AG2" s="64" t="s">
        <v>121</v>
      </c>
      <c r="AH2" s="64" t="s">
        <v>121</v>
      </c>
      <c r="AI2" s="64" t="s">
        <v>121</v>
      </c>
      <c r="AJ2" s="64" t="s">
        <v>121</v>
      </c>
      <c r="AK2" s="64" t="s">
        <v>121</v>
      </c>
      <c r="AL2" s="64" t="s">
        <v>121</v>
      </c>
      <c r="AM2" s="64" t="s">
        <v>121</v>
      </c>
      <c r="AN2" s="64" t="s">
        <v>121</v>
      </c>
      <c r="AO2" s="64" t="s">
        <v>121</v>
      </c>
      <c r="AP2" s="64" t="s">
        <v>121</v>
      </c>
      <c r="AQ2" s="64" t="s">
        <v>121</v>
      </c>
      <c r="AR2" s="64" t="s">
        <v>121</v>
      </c>
      <c r="AS2" s="64" t="s">
        <v>121</v>
      </c>
      <c r="AT2" s="64" t="s">
        <v>121</v>
      </c>
      <c r="AU2" s="64" t="s">
        <v>121</v>
      </c>
      <c r="AV2" s="64" t="s">
        <v>121</v>
      </c>
      <c r="AW2" s="64" t="s">
        <v>121</v>
      </c>
      <c r="AX2" s="64" t="s">
        <v>121</v>
      </c>
      <c r="AY2" s="64" t="s">
        <v>121</v>
      </c>
      <c r="AZ2" s="64" t="s">
        <v>121</v>
      </c>
      <c r="BA2" s="64" t="s">
        <v>121</v>
      </c>
      <c r="BB2" s="64" t="s">
        <v>121</v>
      </c>
      <c r="BC2" s="64" t="s">
        <v>121</v>
      </c>
      <c r="BD2" s="64" t="s">
        <v>121</v>
      </c>
      <c r="BE2" s="64" t="s">
        <v>121</v>
      </c>
      <c r="BF2" s="64" t="s">
        <v>121</v>
      </c>
      <c r="BG2" s="64" t="s">
        <v>121</v>
      </c>
      <c r="BH2" s="64" t="s">
        <v>121</v>
      </c>
      <c r="BI2" s="64" t="s">
        <v>121</v>
      </c>
      <c r="BJ2" s="64" t="s">
        <v>121</v>
      </c>
      <c r="BK2" s="64" t="s">
        <v>121</v>
      </c>
      <c r="BL2" s="64" t="s">
        <v>121</v>
      </c>
      <c r="BM2" s="64" t="s">
        <v>121</v>
      </c>
      <c r="BN2" s="64" t="s">
        <v>121</v>
      </c>
      <c r="BO2" s="64" t="s">
        <v>121</v>
      </c>
      <c r="BP2" s="64" t="s">
        <v>121</v>
      </c>
      <c r="BQ2" s="64" t="s">
        <v>121</v>
      </c>
      <c r="BR2" s="64" t="s">
        <v>121</v>
      </c>
      <c r="BS2" s="64" t="s">
        <v>121</v>
      </c>
      <c r="BT2" s="64" t="s">
        <v>121</v>
      </c>
      <c r="BU2" s="64" t="s">
        <v>121</v>
      </c>
      <c r="BV2" s="64" t="s">
        <v>121</v>
      </c>
      <c r="BW2" s="64" t="s">
        <v>121</v>
      </c>
      <c r="BX2" s="64" t="s">
        <v>121</v>
      </c>
      <c r="BY2" s="64" t="s">
        <v>121</v>
      </c>
      <c r="BZ2" s="64" t="s">
        <v>121</v>
      </c>
      <c r="CA2" s="64" t="s">
        <v>121</v>
      </c>
      <c r="CB2" s="64" t="s">
        <v>121</v>
      </c>
      <c r="CC2" s="64" t="s">
        <v>121</v>
      </c>
      <c r="CD2" s="64" t="s">
        <v>121</v>
      </c>
      <c r="CE2" s="64" t="s">
        <v>121</v>
      </c>
      <c r="CF2" s="64" t="s">
        <v>121</v>
      </c>
      <c r="CG2" s="64" t="s">
        <v>121</v>
      </c>
      <c r="CH2" s="64" t="s">
        <v>121</v>
      </c>
      <c r="CI2" s="64" t="s">
        <v>121</v>
      </c>
      <c r="CJ2" s="64" t="s">
        <v>121</v>
      </c>
      <c r="CK2" s="64" t="s">
        <v>121</v>
      </c>
      <c r="CL2" s="64" t="s">
        <v>121</v>
      </c>
      <c r="CM2" s="64" t="s">
        <v>121</v>
      </c>
      <c r="CN2" s="64" t="s">
        <v>121</v>
      </c>
      <c r="CO2" s="64" t="s">
        <v>121</v>
      </c>
      <c r="CP2" s="64" t="s">
        <v>121</v>
      </c>
      <c r="CQ2" s="64" t="s">
        <v>121</v>
      </c>
      <c r="CR2" s="64" t="s">
        <v>121</v>
      </c>
      <c r="CS2" s="64" t="s">
        <v>121</v>
      </c>
      <c r="CT2" s="64" t="s">
        <v>121</v>
      </c>
      <c r="CU2" s="64" t="s">
        <v>121</v>
      </c>
      <c r="CV2" s="64" t="s">
        <v>121</v>
      </c>
      <c r="CW2" s="64" t="s">
        <v>121</v>
      </c>
    </row>
    <row r="3">
      <c r="A3" s="65" t="s">
        <v>126</v>
      </c>
      <c r="B3" s="57">
        <v>5.0</v>
      </c>
      <c r="C3" s="57">
        <v>5.0</v>
      </c>
      <c r="D3" s="57">
        <v>5.0</v>
      </c>
      <c r="E3" s="57">
        <v>5.0</v>
      </c>
      <c r="F3" s="57">
        <v>5.0</v>
      </c>
      <c r="G3" s="57">
        <v>10.0</v>
      </c>
      <c r="H3" s="57">
        <v>5.0</v>
      </c>
      <c r="I3" s="57">
        <v>5.0</v>
      </c>
      <c r="J3" s="57">
        <v>5.0</v>
      </c>
      <c r="K3" s="57">
        <v>5.0</v>
      </c>
      <c r="L3" s="57">
        <v>5.0</v>
      </c>
      <c r="M3" s="57">
        <v>5.0</v>
      </c>
      <c r="N3" s="57">
        <v>10.0</v>
      </c>
      <c r="O3" s="57">
        <v>10.0</v>
      </c>
      <c r="P3" s="57">
        <v>10.0</v>
      </c>
      <c r="Q3" s="57">
        <v>5.0</v>
      </c>
      <c r="R3" s="57">
        <v>5.0</v>
      </c>
      <c r="S3" s="57">
        <v>5.0</v>
      </c>
      <c r="T3" s="57">
        <v>5.0</v>
      </c>
      <c r="U3" s="57">
        <v>5.0</v>
      </c>
      <c r="V3" s="57">
        <v>5.0</v>
      </c>
      <c r="W3" s="57">
        <v>5.0</v>
      </c>
      <c r="X3" s="57">
        <v>5.0</v>
      </c>
      <c r="Y3" s="57">
        <v>5.0</v>
      </c>
      <c r="Z3" s="57">
        <v>5.0</v>
      </c>
      <c r="AA3" s="57">
        <v>5.0</v>
      </c>
      <c r="AB3" s="57">
        <v>5.0</v>
      </c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</row>
    <row r="4">
      <c r="A4" s="65" t="s">
        <v>127</v>
      </c>
      <c r="B4" s="57">
        <v>5.0</v>
      </c>
      <c r="C4" s="57">
        <v>5.0</v>
      </c>
      <c r="D4" s="57">
        <v>5.0</v>
      </c>
      <c r="E4" s="57">
        <v>5.0</v>
      </c>
      <c r="F4" s="57">
        <v>5.0</v>
      </c>
      <c r="G4" s="57">
        <v>10.0</v>
      </c>
      <c r="H4" s="57">
        <v>5.0</v>
      </c>
      <c r="I4" s="57">
        <v>5.0</v>
      </c>
      <c r="J4" s="57">
        <v>5.0</v>
      </c>
      <c r="K4" s="57">
        <v>5.0</v>
      </c>
      <c r="L4" s="57">
        <v>5.0</v>
      </c>
      <c r="M4" s="57">
        <v>5.0</v>
      </c>
      <c r="N4" s="57">
        <v>10.0</v>
      </c>
      <c r="O4" s="57">
        <v>10.0</v>
      </c>
      <c r="P4" s="57">
        <v>10.0</v>
      </c>
      <c r="Q4" s="57">
        <v>5.0</v>
      </c>
      <c r="R4" s="57">
        <v>5.0</v>
      </c>
      <c r="S4" s="57">
        <v>5.0</v>
      </c>
      <c r="T4" s="57">
        <v>5.0</v>
      </c>
      <c r="U4" s="57">
        <v>5.0</v>
      </c>
      <c r="V4" s="57">
        <v>5.0</v>
      </c>
      <c r="W4" s="57">
        <v>5.0</v>
      </c>
      <c r="X4" s="57">
        <v>5.0</v>
      </c>
      <c r="Y4" s="57">
        <v>5.0</v>
      </c>
      <c r="Z4" s="57">
        <v>5.0</v>
      </c>
      <c r="AA4" s="57">
        <v>5.0</v>
      </c>
      <c r="AB4" s="57">
        <v>5.0</v>
      </c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</row>
    <row r="5">
      <c r="A5" s="65" t="s">
        <v>128</v>
      </c>
      <c r="B5" s="57">
        <v>5.0</v>
      </c>
      <c r="C5" s="57">
        <v>5.0</v>
      </c>
      <c r="D5" s="57">
        <v>5.0</v>
      </c>
      <c r="E5" s="57">
        <v>5.0</v>
      </c>
      <c r="F5" s="57">
        <v>5.0</v>
      </c>
      <c r="G5" s="57">
        <v>10.0</v>
      </c>
      <c r="H5" s="57">
        <v>5.0</v>
      </c>
      <c r="I5" s="57">
        <v>5.0</v>
      </c>
      <c r="J5" s="57">
        <v>5.0</v>
      </c>
      <c r="K5" s="57">
        <v>5.0</v>
      </c>
      <c r="L5" s="57">
        <v>5.0</v>
      </c>
      <c r="M5" s="57">
        <v>5.0</v>
      </c>
      <c r="N5" s="57">
        <v>10.0</v>
      </c>
      <c r="O5" s="57">
        <v>10.0</v>
      </c>
      <c r="P5" s="57">
        <v>10.0</v>
      </c>
      <c r="Q5" s="57">
        <v>5.0</v>
      </c>
      <c r="R5" s="57">
        <v>5.0</v>
      </c>
      <c r="S5" s="57">
        <v>5.0</v>
      </c>
      <c r="T5" s="57">
        <v>5.0</v>
      </c>
      <c r="U5" s="57">
        <v>5.0</v>
      </c>
      <c r="V5" s="57">
        <v>5.0</v>
      </c>
      <c r="W5" s="57">
        <v>5.0</v>
      </c>
      <c r="X5" s="57">
        <v>5.0</v>
      </c>
      <c r="Y5" s="57">
        <v>5.0</v>
      </c>
      <c r="Z5" s="57">
        <v>5.0</v>
      </c>
      <c r="AA5" s="57">
        <v>5.0</v>
      </c>
      <c r="AB5" s="57">
        <v>5.0</v>
      </c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</row>
    <row r="6">
      <c r="A6" s="65" t="s">
        <v>129</v>
      </c>
      <c r="B6" s="57">
        <v>5.0</v>
      </c>
      <c r="C6" s="57">
        <v>5.0</v>
      </c>
      <c r="D6" s="57">
        <v>5.0</v>
      </c>
      <c r="E6" s="57">
        <v>5.0</v>
      </c>
      <c r="F6" s="57">
        <v>5.0</v>
      </c>
      <c r="G6" s="57">
        <v>10.0</v>
      </c>
      <c r="H6" s="57">
        <v>5.0</v>
      </c>
      <c r="I6" s="57">
        <v>5.0</v>
      </c>
      <c r="J6" s="57">
        <v>5.0</v>
      </c>
      <c r="K6" s="57">
        <v>5.0</v>
      </c>
      <c r="L6" s="57">
        <v>5.0</v>
      </c>
      <c r="M6" s="57">
        <v>5.0</v>
      </c>
      <c r="N6" s="57">
        <v>10.0</v>
      </c>
      <c r="O6" s="57">
        <v>10.0</v>
      </c>
      <c r="P6" s="57">
        <v>10.0</v>
      </c>
      <c r="Q6" s="57">
        <v>5.0</v>
      </c>
      <c r="R6" s="57">
        <v>5.0</v>
      </c>
      <c r="S6" s="57">
        <v>5.0</v>
      </c>
      <c r="T6" s="57">
        <v>5.0</v>
      </c>
      <c r="U6" s="57">
        <v>5.0</v>
      </c>
      <c r="V6" s="57">
        <v>5.0</v>
      </c>
      <c r="W6" s="57">
        <v>5.0</v>
      </c>
      <c r="X6" s="57">
        <v>5.0</v>
      </c>
      <c r="Y6" s="57">
        <v>5.0</v>
      </c>
      <c r="Z6" s="57">
        <v>5.0</v>
      </c>
      <c r="AA6" s="57">
        <v>5.0</v>
      </c>
      <c r="AB6" s="57">
        <v>5.0</v>
      </c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</row>
    <row r="7">
      <c r="A7" s="65" t="s">
        <v>130</v>
      </c>
      <c r="B7" s="57">
        <v>5.0</v>
      </c>
      <c r="C7" s="57">
        <v>5.0</v>
      </c>
      <c r="D7" s="57">
        <v>5.0</v>
      </c>
      <c r="E7" s="57">
        <v>5.0</v>
      </c>
      <c r="F7" s="57">
        <v>5.0</v>
      </c>
      <c r="G7" s="57">
        <v>10.0</v>
      </c>
      <c r="H7" s="57">
        <v>5.0</v>
      </c>
      <c r="I7" s="57">
        <v>5.0</v>
      </c>
      <c r="J7" s="57">
        <v>5.0</v>
      </c>
      <c r="K7" s="57">
        <v>5.0</v>
      </c>
      <c r="L7" s="57">
        <v>5.0</v>
      </c>
      <c r="M7" s="57">
        <v>5.0</v>
      </c>
      <c r="N7" s="57">
        <v>10.0</v>
      </c>
      <c r="O7" s="57">
        <v>10.0</v>
      </c>
      <c r="P7" s="57">
        <v>10.0</v>
      </c>
      <c r="Q7" s="57">
        <v>5.0</v>
      </c>
      <c r="R7" s="57">
        <v>5.0</v>
      </c>
      <c r="S7" s="57">
        <v>5.0</v>
      </c>
      <c r="T7" s="57">
        <v>5.0</v>
      </c>
      <c r="U7" s="57">
        <v>5.0</v>
      </c>
      <c r="V7" s="57">
        <v>5.0</v>
      </c>
      <c r="W7" s="57">
        <v>5.0</v>
      </c>
      <c r="X7" s="57">
        <v>5.0</v>
      </c>
      <c r="Y7" s="57">
        <v>5.0</v>
      </c>
      <c r="Z7" s="57">
        <v>5.0</v>
      </c>
      <c r="AA7" s="57">
        <v>5.0</v>
      </c>
      <c r="AB7" s="57">
        <v>5.0</v>
      </c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</row>
    <row r="8">
      <c r="A8" s="65" t="s">
        <v>131</v>
      </c>
      <c r="B8" s="57">
        <v>0.0</v>
      </c>
      <c r="C8" s="57">
        <v>0.0</v>
      </c>
      <c r="D8" s="57">
        <v>0.0</v>
      </c>
      <c r="E8" s="57">
        <v>0.0</v>
      </c>
      <c r="F8" s="57">
        <v>0.0</v>
      </c>
      <c r="G8" s="57">
        <v>0.0</v>
      </c>
      <c r="H8" s="57">
        <v>0.0</v>
      </c>
      <c r="I8" s="57">
        <v>0.0</v>
      </c>
      <c r="J8" s="57">
        <v>0.0</v>
      </c>
      <c r="K8" s="57">
        <v>0.0</v>
      </c>
      <c r="L8" s="57">
        <v>0.0</v>
      </c>
      <c r="M8" s="57">
        <v>0.0</v>
      </c>
      <c r="N8" s="57">
        <v>0.0</v>
      </c>
      <c r="O8" s="57">
        <v>0.0</v>
      </c>
      <c r="P8" s="57">
        <v>0.0</v>
      </c>
      <c r="Q8" s="57">
        <v>0.0</v>
      </c>
      <c r="R8" s="57">
        <v>0.0</v>
      </c>
      <c r="S8" s="57">
        <v>0.0</v>
      </c>
      <c r="T8" s="57">
        <v>0.0</v>
      </c>
      <c r="U8" s="57">
        <v>0.0</v>
      </c>
      <c r="V8" s="57">
        <v>0.0</v>
      </c>
      <c r="W8" s="57">
        <v>0.0</v>
      </c>
      <c r="X8" s="57">
        <v>0.0</v>
      </c>
      <c r="Y8" s="57">
        <v>0.0</v>
      </c>
      <c r="Z8" s="57">
        <v>0.0</v>
      </c>
      <c r="AA8" s="57">
        <v>0.0</v>
      </c>
      <c r="AB8" s="57">
        <v>0.0</v>
      </c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</row>
    <row r="9">
      <c r="A9" s="65" t="s">
        <v>132</v>
      </c>
      <c r="B9" s="57">
        <v>0.0</v>
      </c>
      <c r="C9" s="57">
        <v>0.0</v>
      </c>
      <c r="D9" s="57">
        <v>0.0</v>
      </c>
      <c r="E9" s="57">
        <v>0.0</v>
      </c>
      <c r="F9" s="57">
        <v>0.0</v>
      </c>
      <c r="G9" s="57">
        <v>0.0</v>
      </c>
      <c r="H9" s="57">
        <v>0.0</v>
      </c>
      <c r="I9" s="57">
        <v>0.0</v>
      </c>
      <c r="J9" s="57">
        <v>0.0</v>
      </c>
      <c r="K9" s="57">
        <v>0.0</v>
      </c>
      <c r="L9" s="57">
        <v>0.0</v>
      </c>
      <c r="M9" s="57">
        <v>0.0</v>
      </c>
      <c r="N9" s="57">
        <v>0.0</v>
      </c>
      <c r="O9" s="57">
        <v>0.0</v>
      </c>
      <c r="P9" s="57">
        <v>0.0</v>
      </c>
      <c r="Q9" s="57">
        <v>0.0</v>
      </c>
      <c r="R9" s="57">
        <v>0.0</v>
      </c>
      <c r="S9" s="57">
        <v>0.0</v>
      </c>
      <c r="T9" s="57">
        <v>0.0</v>
      </c>
      <c r="U9" s="57">
        <v>0.0</v>
      </c>
      <c r="V9" s="57">
        <v>0.0</v>
      </c>
      <c r="W9" s="57">
        <v>0.0</v>
      </c>
      <c r="X9" s="57">
        <v>0.0</v>
      </c>
      <c r="Y9" s="57">
        <v>0.0</v>
      </c>
      <c r="Z9" s="57">
        <v>0.0</v>
      </c>
      <c r="AA9" s="57">
        <v>0.0</v>
      </c>
      <c r="AB9" s="57">
        <v>0.0</v>
      </c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</row>
    <row r="10">
      <c r="A10" s="65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</row>
    <row r="11">
      <c r="A11" s="65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</row>
    <row r="12">
      <c r="A12" s="65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</row>
    <row r="13">
      <c r="A13" s="65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</row>
    <row r="14">
      <c r="A14" s="65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</row>
    <row r="15">
      <c r="A15" s="65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</row>
    <row r="16">
      <c r="A16" s="65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</row>
    <row r="17">
      <c r="A17" s="65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</row>
    <row r="18">
      <c r="A18" s="65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</row>
    <row r="19">
      <c r="A19" s="65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</row>
    <row r="20">
      <c r="A20" s="65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</row>
    <row r="21" ht="15.75" customHeight="1">
      <c r="A21" s="65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</row>
    <row r="22" ht="15.75" customHeight="1">
      <c r="A22" s="65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</row>
    <row r="23" ht="15.75" customHeight="1">
      <c r="A23" s="65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</row>
    <row r="24" ht="15.75" customHeight="1">
      <c r="A24" s="65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</row>
    <row r="25" ht="15.75" customHeight="1">
      <c r="A25" s="65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</row>
    <row r="26" ht="15.75" customHeight="1">
      <c r="A26" s="65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</row>
    <row r="27" ht="15.75" customHeight="1">
      <c r="A27" s="65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</row>
    <row r="28" ht="15.75" customHeight="1">
      <c r="A28" s="65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</row>
    <row r="29" ht="15.75" customHeight="1">
      <c r="A29" s="6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</row>
    <row r="30" ht="15.75" customHeight="1">
      <c r="A30" s="65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</row>
    <row r="31" ht="15.75" customHeight="1">
      <c r="A31" s="65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</row>
    <row r="32" ht="15.75" customHeight="1">
      <c r="A32" s="65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</row>
    <row r="33" ht="15.75" customHeight="1">
      <c r="A33" s="6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</row>
    <row r="34" ht="15.75" customHeight="1">
      <c r="A34" s="65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</row>
    <row r="35" ht="15.75" customHeight="1">
      <c r="A35" s="65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</row>
    <row r="36" ht="15.75" customHeight="1">
      <c r="A36" s="65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</row>
    <row r="37" ht="15.75" customHeight="1">
      <c r="A37" s="65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</row>
    <row r="38" ht="15.75" customHeight="1">
      <c r="A38" s="65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</row>
    <row r="39" ht="15.75" customHeight="1">
      <c r="A39" s="65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</row>
    <row r="40" ht="15.75" customHeight="1">
      <c r="A40" s="65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</row>
    <row r="41" ht="15.75" customHeight="1">
      <c r="A41" s="65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</row>
    <row r="42" ht="15.75" customHeight="1">
      <c r="A42" s="65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</row>
    <row r="43" ht="15.75" customHeight="1">
      <c r="A43" s="65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</row>
    <row r="44" ht="15.75" customHeight="1">
      <c r="A44" s="65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</row>
    <row r="45" ht="15.75" customHeight="1">
      <c r="A45" s="65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</row>
    <row r="46" ht="15.75" customHeight="1">
      <c r="A46" s="65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</row>
    <row r="47" ht="15.75" customHeight="1">
      <c r="A47" s="65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</row>
    <row r="48" ht="15.75" customHeight="1">
      <c r="A48" s="65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</row>
    <row r="49" ht="15.75" customHeight="1">
      <c r="A49" s="65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</row>
    <row r="50" ht="15.75" customHeight="1">
      <c r="A50" s="65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</row>
    <row r="51" ht="15.75" customHeight="1">
      <c r="A51" s="65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</row>
    <row r="52" ht="15.75" customHeight="1">
      <c r="A52" s="65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</row>
    <row r="53" ht="15.75" customHeight="1">
      <c r="A53" s="65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</row>
    <row r="54" ht="15.75" customHeight="1">
      <c r="A54" s="65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</row>
    <row r="55" ht="15.75" customHeight="1">
      <c r="A55" s="65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</row>
    <row r="56" ht="15.75" customHeight="1">
      <c r="A56" s="65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</row>
    <row r="57" ht="15.75" customHeight="1">
      <c r="A57" s="65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</row>
    <row r="58" ht="15.75" customHeight="1">
      <c r="A58" s="65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</row>
    <row r="59" ht="15.75" customHeight="1">
      <c r="A59" s="65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</row>
    <row r="60" ht="15.75" customHeight="1">
      <c r="A60" s="65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</row>
    <row r="61" ht="15.75" customHeight="1">
      <c r="A61" s="65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</row>
    <row r="62" ht="15.75" customHeight="1">
      <c r="A62" s="65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</row>
    <row r="63" ht="15.75" customHeight="1">
      <c r="A63" s="65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</row>
    <row r="64" ht="15.75" customHeight="1">
      <c r="A64" s="65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</row>
    <row r="65" ht="15.75" customHeight="1">
      <c r="A65" s="65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</row>
    <row r="66" ht="15.75" customHeight="1">
      <c r="A66" s="65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</row>
    <row r="67" ht="15.75" customHeight="1">
      <c r="A67" s="65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</row>
    <row r="68" ht="15.75" customHeight="1">
      <c r="A68" s="65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</row>
    <row r="69" ht="15.75" customHeight="1">
      <c r="A69" s="65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</row>
    <row r="70" ht="15.75" customHeight="1">
      <c r="A70" s="65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</row>
    <row r="71" ht="15.75" customHeight="1">
      <c r="A71" s="65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</row>
    <row r="72" ht="15.75" customHeight="1">
      <c r="A72" s="65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</row>
    <row r="73" ht="15.75" customHeight="1">
      <c r="A73" s="65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</row>
    <row r="74" ht="15.75" customHeight="1">
      <c r="A74" s="65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</row>
    <row r="75" ht="15.75" customHeight="1">
      <c r="A75" s="65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</row>
    <row r="76" ht="15.75" customHeight="1">
      <c r="A76" s="65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</row>
    <row r="77" ht="15.75" customHeight="1">
      <c r="A77" s="65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</row>
    <row r="78" ht="15.75" customHeight="1">
      <c r="A78" s="65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</row>
    <row r="79" ht="15.75" customHeight="1">
      <c r="A79" s="65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</row>
    <row r="80" ht="15.75" customHeight="1">
      <c r="A80" s="65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</row>
    <row r="81" ht="15.75" customHeight="1">
      <c r="A81" s="65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</row>
    <row r="82" ht="15.75" customHeight="1">
      <c r="A82" s="65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</row>
    <row r="83" ht="15.75" customHeight="1">
      <c r="A83" s="65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</row>
    <row r="84" ht="15.75" customHeight="1">
      <c r="A84" s="65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</row>
    <row r="85" ht="15.75" customHeight="1">
      <c r="A85" s="65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</row>
    <row r="86" ht="15.75" customHeight="1">
      <c r="A86" s="65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</row>
    <row r="87" ht="15.75" customHeight="1">
      <c r="A87" s="65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</row>
    <row r="88" ht="15.75" customHeight="1">
      <c r="A88" s="65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</row>
    <row r="89" ht="15.75" customHeight="1">
      <c r="A89" s="65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</row>
    <row r="90" ht="15.75" customHeight="1">
      <c r="A90" s="65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</row>
    <row r="91" ht="15.75" customHeight="1">
      <c r="A91" s="65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</row>
    <row r="92" ht="15.75" customHeight="1">
      <c r="A92" s="65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</row>
    <row r="93" ht="15.75" customHeight="1">
      <c r="A93" s="65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</row>
    <row r="94" ht="15.75" customHeight="1">
      <c r="A94" s="65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</row>
    <row r="95" ht="15.75" customHeight="1">
      <c r="A95" s="65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</row>
    <row r="96" ht="15.75" customHeight="1">
      <c r="A96" s="65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</row>
    <row r="97" ht="15.75" customHeight="1">
      <c r="A97" s="65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</row>
    <row r="98" ht="15.75" customHeight="1">
      <c r="A98" s="65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</row>
    <row r="99" ht="15.75" customHeight="1">
      <c r="A99" s="65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</row>
    <row r="100" ht="15.75" customHeight="1">
      <c r="A100" s="65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</row>
    <row r="101" ht="15.75" customHeight="1">
      <c r="A101" s="65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</row>
    <row r="102" ht="15.75" customHeight="1">
      <c r="A102" s="65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</row>
    <row r="103" ht="15.75" customHeight="1">
      <c r="A103" s="65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</row>
    <row r="104" ht="15.75" customHeight="1">
      <c r="A104" s="65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</row>
    <row r="105" ht="15.75" customHeight="1">
      <c r="A105" s="65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</row>
    <row r="106" ht="15.75" customHeight="1">
      <c r="A106" s="65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</row>
    <row r="107" ht="15.75" customHeight="1">
      <c r="A107" s="65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</row>
    <row r="108" ht="15.75" customHeight="1">
      <c r="A108" s="65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</row>
    <row r="109" ht="15.75" customHeight="1">
      <c r="A109" s="65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</row>
    <row r="110" ht="15.75" customHeight="1">
      <c r="A110" s="65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</row>
    <row r="111" ht="15.75" customHeight="1">
      <c r="A111" s="65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</row>
    <row r="112" ht="15.75" customHeight="1">
      <c r="A112" s="65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</row>
    <row r="113" ht="15.75" customHeight="1">
      <c r="A113" s="65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</row>
    <row r="114" ht="15.75" customHeight="1">
      <c r="A114" s="65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</row>
    <row r="115" ht="15.75" customHeight="1">
      <c r="A115" s="65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</row>
    <row r="116" ht="15.75" customHeight="1">
      <c r="A116" s="65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</row>
    <row r="117" ht="15.75" customHeight="1">
      <c r="A117" s="65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</row>
    <row r="118" ht="15.75" customHeight="1">
      <c r="A118" s="65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</row>
    <row r="119" ht="15.75" customHeight="1">
      <c r="A119" s="65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</row>
    <row r="120" ht="15.75" customHeight="1">
      <c r="A120" s="65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</row>
    <row r="121" ht="15.75" customHeight="1">
      <c r="A121" s="65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</row>
    <row r="122" ht="15.75" customHeight="1">
      <c r="A122" s="65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</row>
    <row r="123" ht="15.75" customHeight="1">
      <c r="A123" s="65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</row>
    <row r="124" ht="15.75" customHeight="1">
      <c r="A124" s="65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</row>
    <row r="125" ht="15.75" customHeight="1">
      <c r="A125" s="65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</row>
    <row r="126" ht="15.75" customHeight="1">
      <c r="A126" s="65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</row>
    <row r="127" ht="15.75" customHeight="1">
      <c r="A127" s="65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</row>
    <row r="128" ht="15.75" customHeight="1">
      <c r="A128" s="65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</row>
    <row r="129" ht="15.75" customHeight="1">
      <c r="A129" s="65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</row>
    <row r="130" ht="15.75" customHeight="1">
      <c r="A130" s="65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</row>
    <row r="131" ht="15.75" customHeight="1">
      <c r="A131" s="65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</row>
    <row r="132" ht="15.75" customHeight="1">
      <c r="A132" s="65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</row>
    <row r="133" ht="15.75" customHeight="1">
      <c r="A133" s="65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</row>
    <row r="134" ht="15.75" customHeight="1">
      <c r="A134" s="65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</row>
    <row r="135" ht="15.75" customHeight="1">
      <c r="A135" s="65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</row>
    <row r="136" ht="15.75" customHeight="1">
      <c r="A136" s="65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</row>
    <row r="137" ht="15.75" customHeight="1">
      <c r="A137" s="65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</row>
    <row r="138" ht="15.75" customHeight="1">
      <c r="A138" s="65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</row>
    <row r="139" ht="15.75" customHeight="1">
      <c r="A139" s="65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</row>
    <row r="140" ht="15.75" customHeight="1">
      <c r="A140" s="65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</row>
    <row r="141" ht="15.75" customHeight="1">
      <c r="A141" s="65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</row>
    <row r="142" ht="15.75" customHeight="1">
      <c r="A142" s="65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</row>
    <row r="143" ht="15.75" customHeight="1">
      <c r="A143" s="65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</row>
    <row r="144" ht="15.75" customHeight="1">
      <c r="A144" s="65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</row>
    <row r="145" ht="15.75" customHeight="1">
      <c r="A145" s="65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</row>
    <row r="146" ht="15.75" customHeight="1">
      <c r="A146" s="65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</row>
    <row r="147" ht="15.75" customHeight="1">
      <c r="A147" s="65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</row>
    <row r="148" ht="15.75" customHeight="1">
      <c r="A148" s="65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</row>
    <row r="149" ht="15.75" customHeight="1">
      <c r="A149" s="65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</row>
    <row r="150" ht="15.75" customHeight="1">
      <c r="A150" s="65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</row>
    <row r="151" ht="15.75" customHeight="1">
      <c r="A151" s="65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</row>
    <row r="152" ht="15.75" customHeight="1">
      <c r="A152" s="65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</row>
    <row r="153" ht="15.75" customHeight="1">
      <c r="A153" s="65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</row>
    <row r="154" ht="15.75" customHeight="1">
      <c r="A154" s="65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</row>
    <row r="155" ht="15.75" customHeight="1">
      <c r="A155" s="65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</row>
    <row r="156" ht="15.75" customHeight="1">
      <c r="A156" s="65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</row>
    <row r="157" ht="15.75" customHeight="1">
      <c r="A157" s="65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</row>
    <row r="158" ht="15.75" customHeight="1">
      <c r="A158" s="65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</row>
    <row r="159" ht="15.75" customHeight="1">
      <c r="A159" s="65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</row>
    <row r="160" ht="15.75" customHeight="1">
      <c r="A160" s="65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</row>
    <row r="161" ht="15.75" customHeight="1">
      <c r="A161" s="65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</row>
    <row r="162" ht="15.75" customHeight="1">
      <c r="A162" s="65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</row>
    <row r="163" ht="15.75" customHeight="1">
      <c r="A163" s="65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</row>
    <row r="164" ht="15.75" customHeight="1">
      <c r="A164" s="65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</row>
    <row r="165" ht="15.75" customHeight="1">
      <c r="A165" s="65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</row>
    <row r="166" ht="15.75" customHeight="1">
      <c r="A166" s="65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</row>
    <row r="167" ht="15.75" customHeight="1">
      <c r="A167" s="65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</row>
    <row r="168" ht="15.75" customHeight="1">
      <c r="A168" s="65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</row>
    <row r="169" ht="15.75" customHeight="1">
      <c r="A169" s="65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</row>
    <row r="170" ht="15.75" customHeight="1">
      <c r="A170" s="65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</row>
    <row r="171" ht="15.75" customHeight="1">
      <c r="A171" s="65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</row>
    <row r="172" ht="15.75" customHeight="1">
      <c r="A172" s="65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</row>
    <row r="173" ht="15.75" customHeight="1">
      <c r="A173" s="65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</row>
    <row r="174" ht="15.75" customHeight="1">
      <c r="A174" s="65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</row>
    <row r="175" ht="15.75" customHeight="1">
      <c r="A175" s="65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</row>
    <row r="176" ht="15.75" customHeight="1">
      <c r="A176" s="65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</row>
    <row r="177" ht="15.75" customHeight="1">
      <c r="A177" s="65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</row>
    <row r="178" ht="15.75" customHeight="1">
      <c r="A178" s="65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</row>
    <row r="179" ht="15.75" customHeight="1">
      <c r="A179" s="65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</row>
    <row r="180" ht="15.75" customHeight="1">
      <c r="A180" s="65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</row>
    <row r="181" ht="15.75" customHeight="1">
      <c r="A181" s="65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</row>
    <row r="182" ht="15.75" customHeight="1">
      <c r="A182" s="65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</row>
    <row r="183" ht="15.75" customHeight="1">
      <c r="A183" s="65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</row>
    <row r="184" ht="15.75" customHeight="1">
      <c r="A184" s="65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</row>
    <row r="185" ht="15.75" customHeight="1">
      <c r="A185" s="65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</row>
    <row r="186" ht="15.75" customHeight="1">
      <c r="A186" s="65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</row>
    <row r="187" ht="15.75" customHeight="1">
      <c r="A187" s="65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</row>
    <row r="188" ht="15.75" customHeight="1">
      <c r="A188" s="65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</row>
    <row r="189" ht="15.75" customHeight="1">
      <c r="A189" s="65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</row>
    <row r="190" ht="15.75" customHeight="1">
      <c r="A190" s="65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</row>
    <row r="191" ht="15.75" customHeight="1">
      <c r="A191" s="65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</row>
    <row r="192" ht="15.75" customHeight="1">
      <c r="A192" s="65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</row>
    <row r="193" ht="15.75" customHeight="1">
      <c r="A193" s="65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</row>
    <row r="194" ht="15.75" customHeight="1">
      <c r="A194" s="65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</row>
    <row r="195" ht="15.75" customHeight="1">
      <c r="A195" s="65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</row>
    <row r="196" ht="15.75" customHeight="1">
      <c r="A196" s="65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</row>
    <row r="197" ht="15.75" customHeight="1">
      <c r="A197" s="65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</row>
    <row r="198" ht="15.75" customHeight="1">
      <c r="A198" s="65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</row>
    <row r="199" ht="15.75" customHeight="1">
      <c r="A199" s="65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</row>
    <row r="200" ht="15.75" customHeight="1">
      <c r="A200" s="65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</row>
    <row r="201" ht="15.75" customHeight="1">
      <c r="A201" s="65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</row>
    <row r="202" ht="15.75" customHeight="1">
      <c r="A202" s="65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</row>
    <row r="203" ht="15.75" customHeight="1">
      <c r="A203" s="65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</row>
    <row r="204" ht="15.75" customHeight="1">
      <c r="A204" s="65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</row>
    <row r="205" ht="15.75" customHeight="1">
      <c r="A205" s="65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</row>
    <row r="206" ht="15.75" customHeight="1">
      <c r="A206" s="65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</row>
    <row r="207" ht="15.75" customHeight="1">
      <c r="A207" s="65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</row>
    <row r="208" ht="15.75" customHeight="1">
      <c r="A208" s="65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</row>
    <row r="209" ht="15.75" customHeight="1">
      <c r="A209" s="65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</row>
    <row r="210" ht="15.75" customHeight="1">
      <c r="A210" s="65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</row>
    <row r="211" ht="15.75" customHeight="1">
      <c r="A211" s="65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</row>
    <row r="212" ht="15.75" customHeight="1">
      <c r="A212" s="65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</row>
    <row r="213" ht="15.75" customHeight="1">
      <c r="A213" s="65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</row>
    <row r="214" ht="15.75" customHeight="1">
      <c r="A214" s="65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</row>
    <row r="215" ht="15.75" customHeight="1">
      <c r="A215" s="65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</row>
    <row r="216" ht="15.75" customHeight="1">
      <c r="A216" s="65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</row>
    <row r="217" ht="15.75" customHeight="1">
      <c r="A217" s="65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</row>
    <row r="218" ht="15.75" customHeight="1">
      <c r="A218" s="65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</row>
    <row r="219" ht="15.75" customHeight="1">
      <c r="A219" s="65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</row>
    <row r="220" ht="15.75" customHeight="1">
      <c r="A220" s="65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/>
      <c r="CG502" s="21"/>
      <c r="CH502" s="21"/>
      <c r="CI502" s="21"/>
      <c r="CJ502" s="21"/>
      <c r="CK502" s="21"/>
      <c r="CL502" s="21"/>
      <c r="CM502" s="21"/>
      <c r="CN502" s="21"/>
      <c r="CO502" s="21"/>
      <c r="CP502" s="21"/>
      <c r="CQ502" s="21"/>
      <c r="CR502" s="21"/>
      <c r="CS502" s="21"/>
      <c r="CT502" s="21"/>
      <c r="CU502" s="21"/>
      <c r="CV502" s="21"/>
      <c r="CW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21"/>
      <c r="CH503" s="21"/>
      <c r="CI503" s="21"/>
      <c r="CJ503" s="21"/>
      <c r="CK503" s="21"/>
      <c r="CL503" s="21"/>
      <c r="CM503" s="21"/>
      <c r="CN503" s="21"/>
      <c r="CO503" s="21"/>
      <c r="CP503" s="21"/>
      <c r="CQ503" s="21"/>
      <c r="CR503" s="21"/>
      <c r="CS503" s="21"/>
      <c r="CT503" s="21"/>
      <c r="CU503" s="21"/>
      <c r="CV503" s="21"/>
      <c r="CW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/>
      <c r="CA504" s="21"/>
      <c r="CB504" s="21"/>
      <c r="CC504" s="21"/>
      <c r="CD504" s="21"/>
      <c r="CE504" s="21"/>
      <c r="CF504" s="21"/>
      <c r="CG504" s="21"/>
      <c r="CH504" s="21"/>
      <c r="CI504" s="21"/>
      <c r="CJ504" s="21"/>
      <c r="CK504" s="21"/>
      <c r="CL504" s="21"/>
      <c r="CM504" s="21"/>
      <c r="CN504" s="21"/>
      <c r="CO504" s="21"/>
      <c r="CP504" s="21"/>
      <c r="CQ504" s="21"/>
      <c r="CR504" s="21"/>
      <c r="CS504" s="21"/>
      <c r="CT504" s="21"/>
      <c r="CU504" s="21"/>
      <c r="CV504" s="21"/>
      <c r="CW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/>
      <c r="CA505" s="21"/>
      <c r="CB505" s="21"/>
      <c r="CC505" s="21"/>
      <c r="CD505" s="21"/>
      <c r="CE505" s="21"/>
      <c r="CF505" s="21"/>
      <c r="CG505" s="21"/>
      <c r="CH505" s="21"/>
      <c r="CI505" s="21"/>
      <c r="CJ505" s="21"/>
      <c r="CK505" s="21"/>
      <c r="CL505" s="21"/>
      <c r="CM505" s="21"/>
      <c r="CN505" s="21"/>
      <c r="CO505" s="21"/>
      <c r="CP505" s="21"/>
      <c r="CQ505" s="21"/>
      <c r="CR505" s="21"/>
      <c r="CS505" s="21"/>
      <c r="CT505" s="21"/>
      <c r="CU505" s="21"/>
      <c r="CV505" s="21"/>
      <c r="CW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  <c r="CA506" s="21"/>
      <c r="CB506" s="21"/>
      <c r="CC506" s="21"/>
      <c r="CD506" s="21"/>
      <c r="CE506" s="21"/>
      <c r="CF506" s="21"/>
      <c r="CG506" s="21"/>
      <c r="CH506" s="21"/>
      <c r="CI506" s="21"/>
      <c r="CJ506" s="21"/>
      <c r="CK506" s="21"/>
      <c r="CL506" s="21"/>
      <c r="CM506" s="21"/>
      <c r="CN506" s="21"/>
      <c r="CO506" s="21"/>
      <c r="CP506" s="21"/>
      <c r="CQ506" s="21"/>
      <c r="CR506" s="21"/>
      <c r="CS506" s="21"/>
      <c r="CT506" s="21"/>
      <c r="CU506" s="21"/>
      <c r="CV506" s="21"/>
      <c r="CW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/>
      <c r="CG507" s="21"/>
      <c r="CH507" s="21"/>
      <c r="CI507" s="21"/>
      <c r="CJ507" s="21"/>
      <c r="CK507" s="21"/>
      <c r="CL507" s="21"/>
      <c r="CM507" s="21"/>
      <c r="CN507" s="21"/>
      <c r="CO507" s="21"/>
      <c r="CP507" s="21"/>
      <c r="CQ507" s="21"/>
      <c r="CR507" s="21"/>
      <c r="CS507" s="21"/>
      <c r="CT507" s="21"/>
      <c r="CU507" s="21"/>
      <c r="CV507" s="21"/>
      <c r="CW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  <c r="CV508" s="21"/>
      <c r="CW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/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21"/>
      <c r="CS510" s="21"/>
      <c r="CT510" s="21"/>
      <c r="CU510" s="21"/>
      <c r="CV510" s="21"/>
      <c r="CW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  <c r="CA511" s="21"/>
      <c r="CB511" s="21"/>
      <c r="CC511" s="21"/>
      <c r="CD511" s="21"/>
      <c r="CE511" s="21"/>
      <c r="CF511" s="21"/>
      <c r="CG511" s="21"/>
      <c r="CH511" s="21"/>
      <c r="CI511" s="21"/>
      <c r="CJ511" s="21"/>
      <c r="CK511" s="21"/>
      <c r="CL511" s="21"/>
      <c r="CM511" s="21"/>
      <c r="CN511" s="21"/>
      <c r="CO511" s="21"/>
      <c r="CP511" s="21"/>
      <c r="CQ511" s="21"/>
      <c r="CR511" s="21"/>
      <c r="CS511" s="21"/>
      <c r="CT511" s="21"/>
      <c r="CU511" s="21"/>
      <c r="CV511" s="21"/>
      <c r="CW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  <c r="CA512" s="21"/>
      <c r="CB512" s="21"/>
      <c r="CC512" s="21"/>
      <c r="CD512" s="21"/>
      <c r="CE512" s="21"/>
      <c r="CF512" s="21"/>
      <c r="CG512" s="21"/>
      <c r="CH512" s="21"/>
      <c r="CI512" s="21"/>
      <c r="CJ512" s="21"/>
      <c r="CK512" s="21"/>
      <c r="CL512" s="21"/>
      <c r="CM512" s="21"/>
      <c r="CN512" s="21"/>
      <c r="CO512" s="21"/>
      <c r="CP512" s="21"/>
      <c r="CQ512" s="21"/>
      <c r="CR512" s="21"/>
      <c r="CS512" s="21"/>
      <c r="CT512" s="21"/>
      <c r="CU512" s="21"/>
      <c r="CV512" s="21"/>
      <c r="CW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  <c r="CA513" s="21"/>
      <c r="CB513" s="21"/>
      <c r="CC513" s="21"/>
      <c r="CD513" s="21"/>
      <c r="CE513" s="21"/>
      <c r="CF513" s="21"/>
      <c r="CG513" s="21"/>
      <c r="CH513" s="21"/>
      <c r="CI513" s="21"/>
      <c r="CJ513" s="21"/>
      <c r="CK513" s="21"/>
      <c r="CL513" s="21"/>
      <c r="CM513" s="21"/>
      <c r="CN513" s="21"/>
      <c r="CO513" s="21"/>
      <c r="CP513" s="21"/>
      <c r="CQ513" s="21"/>
      <c r="CR513" s="21"/>
      <c r="CS513" s="21"/>
      <c r="CT513" s="21"/>
      <c r="CU513" s="21"/>
      <c r="CV513" s="21"/>
      <c r="CW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1"/>
      <c r="CE514" s="21"/>
      <c r="CF514" s="21"/>
      <c r="CG514" s="21"/>
      <c r="CH514" s="21"/>
      <c r="CI514" s="21"/>
      <c r="CJ514" s="21"/>
      <c r="CK514" s="21"/>
      <c r="CL514" s="21"/>
      <c r="CM514" s="21"/>
      <c r="CN514" s="21"/>
      <c r="CO514" s="21"/>
      <c r="CP514" s="21"/>
      <c r="CQ514" s="21"/>
      <c r="CR514" s="21"/>
      <c r="CS514" s="21"/>
      <c r="CT514" s="21"/>
      <c r="CU514" s="21"/>
      <c r="CV514" s="21"/>
      <c r="CW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H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  <c r="CA516" s="21"/>
      <c r="CB516" s="21"/>
      <c r="CC516" s="21"/>
      <c r="CD516" s="21"/>
      <c r="CE516" s="21"/>
      <c r="CF516" s="21"/>
      <c r="CG516" s="21"/>
      <c r="CH516" s="21"/>
      <c r="CI516" s="21"/>
      <c r="CJ516" s="21"/>
      <c r="CK516" s="21"/>
      <c r="CL516" s="21"/>
      <c r="CM516" s="21"/>
      <c r="CN516" s="21"/>
      <c r="CO516" s="21"/>
      <c r="CP516" s="21"/>
      <c r="CQ516" s="21"/>
      <c r="CR516" s="21"/>
      <c r="CS516" s="21"/>
      <c r="CT516" s="21"/>
      <c r="CU516" s="21"/>
      <c r="CV516" s="21"/>
      <c r="CW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1"/>
      <c r="CE517" s="21"/>
      <c r="CF517" s="21"/>
      <c r="CG517" s="21"/>
      <c r="CH517" s="21"/>
      <c r="CI517" s="21"/>
      <c r="CJ517" s="21"/>
      <c r="CK517" s="21"/>
      <c r="CL517" s="21"/>
      <c r="CM517" s="21"/>
      <c r="CN517" s="21"/>
      <c r="CO517" s="21"/>
      <c r="CP517" s="21"/>
      <c r="CQ517" s="21"/>
      <c r="CR517" s="21"/>
      <c r="CS517" s="21"/>
      <c r="CT517" s="21"/>
      <c r="CU517" s="21"/>
      <c r="CV517" s="21"/>
      <c r="CW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  <c r="CC518" s="21"/>
      <c r="CD518" s="21"/>
      <c r="CE518" s="21"/>
      <c r="CF518" s="21"/>
      <c r="CG518" s="21"/>
      <c r="CH518" s="21"/>
      <c r="CI518" s="21"/>
      <c r="CJ518" s="21"/>
      <c r="CK518" s="21"/>
      <c r="CL518" s="21"/>
      <c r="CM518" s="21"/>
      <c r="CN518" s="21"/>
      <c r="CO518" s="21"/>
      <c r="CP518" s="21"/>
      <c r="CQ518" s="21"/>
      <c r="CR518" s="21"/>
      <c r="CS518" s="21"/>
      <c r="CT518" s="21"/>
      <c r="CU518" s="21"/>
      <c r="CV518" s="21"/>
      <c r="CW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1"/>
      <c r="CE519" s="21"/>
      <c r="CF519" s="21"/>
      <c r="CG519" s="21"/>
      <c r="CH519" s="21"/>
      <c r="CI519" s="21"/>
      <c r="CJ519" s="21"/>
      <c r="CK519" s="21"/>
      <c r="CL519" s="21"/>
      <c r="CM519" s="21"/>
      <c r="CN519" s="21"/>
      <c r="CO519" s="21"/>
      <c r="CP519" s="21"/>
      <c r="CQ519" s="21"/>
      <c r="CR519" s="21"/>
      <c r="CS519" s="21"/>
      <c r="CT519" s="21"/>
      <c r="CU519" s="21"/>
      <c r="CV519" s="21"/>
      <c r="CW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  <c r="CA520" s="21"/>
      <c r="CB520" s="21"/>
      <c r="CC520" s="21"/>
      <c r="CD520" s="21"/>
      <c r="CE520" s="21"/>
      <c r="CF520" s="21"/>
      <c r="CG520" s="21"/>
      <c r="CH520" s="21"/>
      <c r="CI520" s="21"/>
      <c r="CJ520" s="21"/>
      <c r="CK520" s="21"/>
      <c r="CL520" s="21"/>
      <c r="CM520" s="21"/>
      <c r="CN520" s="21"/>
      <c r="CO520" s="21"/>
      <c r="CP520" s="21"/>
      <c r="CQ520" s="21"/>
      <c r="CR520" s="21"/>
      <c r="CS520" s="21"/>
      <c r="CT520" s="21"/>
      <c r="CU520" s="21"/>
      <c r="CV520" s="21"/>
      <c r="CW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  <c r="CV521" s="21"/>
      <c r="CW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1"/>
      <c r="CE522" s="21"/>
      <c r="CF522" s="21"/>
      <c r="CG522" s="21"/>
      <c r="CH522" s="21"/>
      <c r="CI522" s="21"/>
      <c r="CJ522" s="21"/>
      <c r="CK522" s="21"/>
      <c r="CL522" s="21"/>
      <c r="CM522" s="21"/>
      <c r="CN522" s="21"/>
      <c r="CO522" s="21"/>
      <c r="CP522" s="21"/>
      <c r="CQ522" s="21"/>
      <c r="CR522" s="21"/>
      <c r="CS522" s="21"/>
      <c r="CT522" s="21"/>
      <c r="CU522" s="21"/>
      <c r="CV522" s="21"/>
      <c r="CW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1"/>
      <c r="CE523" s="21"/>
      <c r="CF523" s="21"/>
      <c r="CG523" s="21"/>
      <c r="CH523" s="21"/>
      <c r="CI523" s="21"/>
      <c r="CJ523" s="21"/>
      <c r="CK523" s="21"/>
      <c r="CL523" s="21"/>
      <c r="CM523" s="21"/>
      <c r="CN523" s="21"/>
      <c r="CO523" s="21"/>
      <c r="CP523" s="21"/>
      <c r="CQ523" s="21"/>
      <c r="CR523" s="21"/>
      <c r="CS523" s="21"/>
      <c r="CT523" s="21"/>
      <c r="CU523" s="21"/>
      <c r="CV523" s="21"/>
      <c r="CW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1"/>
      <c r="CE524" s="21"/>
      <c r="CF524" s="21"/>
      <c r="CG524" s="21"/>
      <c r="CH524" s="21"/>
      <c r="CI524" s="21"/>
      <c r="CJ524" s="21"/>
      <c r="CK524" s="21"/>
      <c r="CL524" s="21"/>
      <c r="CM524" s="21"/>
      <c r="CN524" s="21"/>
      <c r="CO524" s="21"/>
      <c r="CP524" s="21"/>
      <c r="CQ524" s="21"/>
      <c r="CR524" s="21"/>
      <c r="CS524" s="21"/>
      <c r="CT524" s="21"/>
      <c r="CU524" s="21"/>
      <c r="CV524" s="21"/>
      <c r="CW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G525" s="21"/>
      <c r="CH525" s="21"/>
      <c r="CI525" s="21"/>
      <c r="CJ525" s="21"/>
      <c r="CK525" s="21"/>
      <c r="CL525" s="21"/>
      <c r="CM525" s="21"/>
      <c r="CN525" s="21"/>
      <c r="CO525" s="21"/>
      <c r="CP525" s="21"/>
      <c r="CQ525" s="21"/>
      <c r="CR525" s="21"/>
      <c r="CS525" s="21"/>
      <c r="CT525" s="21"/>
      <c r="CU525" s="21"/>
      <c r="CV525" s="21"/>
      <c r="CW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/>
      <c r="CA526" s="21"/>
      <c r="CB526" s="21"/>
      <c r="CC526" s="21"/>
      <c r="CD526" s="21"/>
      <c r="CE526" s="21"/>
      <c r="CF526" s="21"/>
      <c r="CG526" s="21"/>
      <c r="CH526" s="21"/>
      <c r="CI526" s="21"/>
      <c r="CJ526" s="21"/>
      <c r="CK526" s="21"/>
      <c r="CL526" s="21"/>
      <c r="CM526" s="21"/>
      <c r="CN526" s="21"/>
      <c r="CO526" s="21"/>
      <c r="CP526" s="21"/>
      <c r="CQ526" s="21"/>
      <c r="CR526" s="21"/>
      <c r="CS526" s="21"/>
      <c r="CT526" s="21"/>
      <c r="CU526" s="21"/>
      <c r="CV526" s="21"/>
      <c r="CW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1"/>
      <c r="CF527" s="21"/>
      <c r="CG527" s="21"/>
      <c r="CH527" s="21"/>
      <c r="CI527" s="21"/>
      <c r="CJ527" s="21"/>
      <c r="CK527" s="21"/>
      <c r="CL527" s="21"/>
      <c r="CM527" s="21"/>
      <c r="CN527" s="21"/>
      <c r="CO527" s="21"/>
      <c r="CP527" s="21"/>
      <c r="CQ527" s="21"/>
      <c r="CR527" s="21"/>
      <c r="CS527" s="21"/>
      <c r="CT527" s="21"/>
      <c r="CU527" s="21"/>
      <c r="CV527" s="21"/>
      <c r="CW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CG528" s="21"/>
      <c r="CH528" s="21"/>
      <c r="CI528" s="21"/>
      <c r="CJ528" s="21"/>
      <c r="CK528" s="21"/>
      <c r="CL528" s="21"/>
      <c r="CM528" s="21"/>
      <c r="CN528" s="21"/>
      <c r="CO528" s="21"/>
      <c r="CP528" s="21"/>
      <c r="CQ528" s="21"/>
      <c r="CR528" s="21"/>
      <c r="CS528" s="21"/>
      <c r="CT528" s="21"/>
      <c r="CU528" s="21"/>
      <c r="CV528" s="21"/>
      <c r="CW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G529" s="21"/>
      <c r="CH529" s="21"/>
      <c r="CI529" s="21"/>
      <c r="CJ529" s="21"/>
      <c r="CK529" s="21"/>
      <c r="CL529" s="21"/>
      <c r="CM529" s="21"/>
      <c r="CN529" s="21"/>
      <c r="CO529" s="21"/>
      <c r="CP529" s="21"/>
      <c r="CQ529" s="21"/>
      <c r="CR529" s="21"/>
      <c r="CS529" s="21"/>
      <c r="CT529" s="21"/>
      <c r="CU529" s="21"/>
      <c r="CV529" s="21"/>
      <c r="CW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21"/>
      <c r="CK530" s="21"/>
      <c r="CL530" s="21"/>
      <c r="CM530" s="21"/>
      <c r="CN530" s="21"/>
      <c r="CO530" s="21"/>
      <c r="CP530" s="21"/>
      <c r="CQ530" s="21"/>
      <c r="CR530" s="21"/>
      <c r="CS530" s="21"/>
      <c r="CT530" s="21"/>
      <c r="CU530" s="21"/>
      <c r="CV530" s="21"/>
      <c r="CW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G531" s="21"/>
      <c r="CH531" s="21"/>
      <c r="CI531" s="21"/>
      <c r="CJ531" s="21"/>
      <c r="CK531" s="21"/>
      <c r="CL531" s="21"/>
      <c r="CM531" s="21"/>
      <c r="CN531" s="21"/>
      <c r="CO531" s="21"/>
      <c r="CP531" s="21"/>
      <c r="CQ531" s="21"/>
      <c r="CR531" s="21"/>
      <c r="CS531" s="21"/>
      <c r="CT531" s="21"/>
      <c r="CU531" s="21"/>
      <c r="CV531" s="21"/>
      <c r="CW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/>
      <c r="CG532" s="21"/>
      <c r="CH532" s="21"/>
      <c r="CI532" s="21"/>
      <c r="CJ532" s="21"/>
      <c r="CK532" s="21"/>
      <c r="CL532" s="21"/>
      <c r="CM532" s="21"/>
      <c r="CN532" s="21"/>
      <c r="CO532" s="21"/>
      <c r="CP532" s="21"/>
      <c r="CQ532" s="21"/>
      <c r="CR532" s="21"/>
      <c r="CS532" s="21"/>
      <c r="CT532" s="21"/>
      <c r="CU532" s="21"/>
      <c r="CV532" s="21"/>
      <c r="CW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/>
      <c r="CG533" s="21"/>
      <c r="CH533" s="21"/>
      <c r="CI533" s="21"/>
      <c r="CJ533" s="21"/>
      <c r="CK533" s="21"/>
      <c r="CL533" s="21"/>
      <c r="CM533" s="21"/>
      <c r="CN533" s="21"/>
      <c r="CO533" s="21"/>
      <c r="CP533" s="21"/>
      <c r="CQ533" s="21"/>
      <c r="CR533" s="21"/>
      <c r="CS533" s="21"/>
      <c r="CT533" s="21"/>
      <c r="CU533" s="21"/>
      <c r="CV533" s="21"/>
      <c r="CW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1"/>
      <c r="CF534" s="21"/>
      <c r="CG534" s="21"/>
      <c r="CH534" s="21"/>
      <c r="CI534" s="21"/>
      <c r="CJ534" s="21"/>
      <c r="CK534" s="21"/>
      <c r="CL534" s="21"/>
      <c r="CM534" s="21"/>
      <c r="CN534" s="21"/>
      <c r="CO534" s="21"/>
      <c r="CP534" s="21"/>
      <c r="CQ534" s="21"/>
      <c r="CR534" s="21"/>
      <c r="CS534" s="21"/>
      <c r="CT534" s="21"/>
      <c r="CU534" s="21"/>
      <c r="CV534" s="21"/>
      <c r="CW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21"/>
      <c r="CF536" s="21"/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F537" s="21"/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21"/>
      <c r="CK539" s="21"/>
      <c r="CL539" s="21"/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21"/>
      <c r="CF540" s="21"/>
      <c r="CG540" s="21"/>
      <c r="CH540" s="21"/>
      <c r="CI540" s="21"/>
      <c r="CJ540" s="21"/>
      <c r="CK540" s="21"/>
      <c r="CL540" s="21"/>
      <c r="CM540" s="21"/>
      <c r="CN540" s="21"/>
      <c r="CO540" s="21"/>
      <c r="CP540" s="21"/>
      <c r="CQ540" s="21"/>
      <c r="CR540" s="21"/>
      <c r="CS540" s="21"/>
      <c r="CT540" s="21"/>
      <c r="CU540" s="21"/>
      <c r="CV540" s="21"/>
      <c r="CW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1"/>
      <c r="CE541" s="21"/>
      <c r="CF541" s="21"/>
      <c r="CG541" s="21"/>
      <c r="CH541" s="21"/>
      <c r="CI541" s="21"/>
      <c r="CJ541" s="21"/>
      <c r="CK541" s="21"/>
      <c r="CL541" s="21"/>
      <c r="CM541" s="21"/>
      <c r="CN541" s="21"/>
      <c r="CO541" s="21"/>
      <c r="CP541" s="21"/>
      <c r="CQ541" s="21"/>
      <c r="CR541" s="21"/>
      <c r="CS541" s="21"/>
      <c r="CT541" s="21"/>
      <c r="CU541" s="21"/>
      <c r="CV541" s="21"/>
      <c r="CW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  <c r="CV542" s="21"/>
      <c r="CW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  <c r="CA543" s="21"/>
      <c r="CB543" s="21"/>
      <c r="CC543" s="21"/>
      <c r="CD543" s="21"/>
      <c r="CE543" s="21"/>
      <c r="CF543" s="21"/>
      <c r="CG543" s="21"/>
      <c r="CH543" s="21"/>
      <c r="CI543" s="21"/>
      <c r="CJ543" s="21"/>
      <c r="CK543" s="21"/>
      <c r="CL543" s="21"/>
      <c r="CM543" s="21"/>
      <c r="CN543" s="21"/>
      <c r="CO543" s="21"/>
      <c r="CP543" s="21"/>
      <c r="CQ543" s="21"/>
      <c r="CR543" s="21"/>
      <c r="CS543" s="21"/>
      <c r="CT543" s="21"/>
      <c r="CU543" s="21"/>
      <c r="CV543" s="21"/>
      <c r="CW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1"/>
      <c r="CF544" s="21"/>
      <c r="CG544" s="21"/>
      <c r="CH544" s="21"/>
      <c r="CI544" s="21"/>
      <c r="CJ544" s="21"/>
      <c r="CK544" s="21"/>
      <c r="CL544" s="21"/>
      <c r="CM544" s="21"/>
      <c r="CN544" s="21"/>
      <c r="CO544" s="21"/>
      <c r="CP544" s="21"/>
      <c r="CQ544" s="21"/>
      <c r="CR544" s="21"/>
      <c r="CS544" s="21"/>
      <c r="CT544" s="21"/>
      <c r="CU544" s="21"/>
      <c r="CV544" s="21"/>
      <c r="CW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  <c r="CA545" s="21"/>
      <c r="CB545" s="21"/>
      <c r="CC545" s="21"/>
      <c r="CD545" s="21"/>
      <c r="CE545" s="21"/>
      <c r="CF545" s="21"/>
      <c r="CG545" s="21"/>
      <c r="CH545" s="21"/>
      <c r="CI545" s="21"/>
      <c r="CJ545" s="21"/>
      <c r="CK545" s="21"/>
      <c r="CL545" s="21"/>
      <c r="CM545" s="21"/>
      <c r="CN545" s="21"/>
      <c r="CO545" s="21"/>
      <c r="CP545" s="21"/>
      <c r="CQ545" s="21"/>
      <c r="CR545" s="21"/>
      <c r="CS545" s="21"/>
      <c r="CT545" s="21"/>
      <c r="CU545" s="21"/>
      <c r="CV545" s="21"/>
      <c r="CW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1"/>
      <c r="CF546" s="21"/>
      <c r="CG546" s="21"/>
      <c r="CH546" s="21"/>
      <c r="CI546" s="21"/>
      <c r="CJ546" s="21"/>
      <c r="CK546" s="21"/>
      <c r="CL546" s="21"/>
      <c r="CM546" s="21"/>
      <c r="CN546" s="21"/>
      <c r="CO546" s="21"/>
      <c r="CP546" s="21"/>
      <c r="CQ546" s="21"/>
      <c r="CR546" s="21"/>
      <c r="CS546" s="21"/>
      <c r="CT546" s="21"/>
      <c r="CU546" s="21"/>
      <c r="CV546" s="21"/>
      <c r="CW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  <c r="CA547" s="21"/>
      <c r="CB547" s="21"/>
      <c r="CC547" s="21"/>
      <c r="CD547" s="21"/>
      <c r="CE547" s="21"/>
      <c r="CF547" s="21"/>
      <c r="CG547" s="21"/>
      <c r="CH547" s="21"/>
      <c r="CI547" s="21"/>
      <c r="CJ547" s="21"/>
      <c r="CK547" s="21"/>
      <c r="CL547" s="21"/>
      <c r="CM547" s="21"/>
      <c r="CN547" s="21"/>
      <c r="CO547" s="21"/>
      <c r="CP547" s="21"/>
      <c r="CQ547" s="21"/>
      <c r="CR547" s="21"/>
      <c r="CS547" s="21"/>
      <c r="CT547" s="21"/>
      <c r="CU547" s="21"/>
      <c r="CV547" s="21"/>
      <c r="CW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21"/>
      <c r="CK548" s="21"/>
      <c r="CL548" s="21"/>
      <c r="CM548" s="21"/>
      <c r="CN548" s="21"/>
      <c r="CO548" s="21"/>
      <c r="CP548" s="21"/>
      <c r="CQ548" s="21"/>
      <c r="CR548" s="21"/>
      <c r="CS548" s="21"/>
      <c r="CT548" s="21"/>
      <c r="CU548" s="21"/>
      <c r="CV548" s="21"/>
      <c r="CW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D549" s="21"/>
      <c r="CE549" s="21"/>
      <c r="CF549" s="21"/>
      <c r="CG549" s="21"/>
      <c r="CH549" s="21"/>
      <c r="CI549" s="21"/>
      <c r="CJ549" s="21"/>
      <c r="CK549" s="21"/>
      <c r="CL549" s="21"/>
      <c r="CM549" s="21"/>
      <c r="CN549" s="21"/>
      <c r="CO549" s="21"/>
      <c r="CP549" s="21"/>
      <c r="CQ549" s="21"/>
      <c r="CR549" s="21"/>
      <c r="CS549" s="21"/>
      <c r="CT549" s="21"/>
      <c r="CU549" s="21"/>
      <c r="CV549" s="21"/>
      <c r="CW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1"/>
      <c r="CE550" s="21"/>
      <c r="CF550" s="21"/>
      <c r="CG550" s="21"/>
      <c r="CH550" s="21"/>
      <c r="CI550" s="21"/>
      <c r="CJ550" s="21"/>
      <c r="CK550" s="21"/>
      <c r="CL550" s="21"/>
      <c r="CM550" s="21"/>
      <c r="CN550" s="21"/>
      <c r="CO550" s="21"/>
      <c r="CP550" s="21"/>
      <c r="CQ550" s="21"/>
      <c r="CR550" s="21"/>
      <c r="CS550" s="21"/>
      <c r="CT550" s="21"/>
      <c r="CU550" s="21"/>
      <c r="CV550" s="21"/>
      <c r="CW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H551" s="21"/>
      <c r="CI551" s="21"/>
      <c r="CJ551" s="21"/>
      <c r="CK551" s="21"/>
      <c r="CL551" s="21"/>
      <c r="CM551" s="21"/>
      <c r="CN551" s="21"/>
      <c r="CO551" s="21"/>
      <c r="CP551" s="21"/>
      <c r="CQ551" s="21"/>
      <c r="CR551" s="21"/>
      <c r="CS551" s="21"/>
      <c r="CT551" s="21"/>
      <c r="CU551" s="21"/>
      <c r="CV551" s="21"/>
      <c r="CW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  <c r="CA552" s="21"/>
      <c r="CB552" s="21"/>
      <c r="CC552" s="21"/>
      <c r="CD552" s="21"/>
      <c r="CE552" s="21"/>
      <c r="CF552" s="21"/>
      <c r="CG552" s="21"/>
      <c r="CH552" s="21"/>
      <c r="CI552" s="21"/>
      <c r="CJ552" s="21"/>
      <c r="CK552" s="21"/>
      <c r="CL552" s="21"/>
      <c r="CM552" s="21"/>
      <c r="CN552" s="21"/>
      <c r="CO552" s="21"/>
      <c r="CP552" s="21"/>
      <c r="CQ552" s="21"/>
      <c r="CR552" s="21"/>
      <c r="CS552" s="21"/>
      <c r="CT552" s="21"/>
      <c r="CU552" s="21"/>
      <c r="CV552" s="21"/>
      <c r="CW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  <c r="CA555" s="21"/>
      <c r="CB555" s="21"/>
      <c r="CC555" s="21"/>
      <c r="CD555" s="21"/>
      <c r="CE555" s="21"/>
      <c r="CF555" s="21"/>
      <c r="CG555" s="21"/>
      <c r="CH555" s="21"/>
      <c r="CI555" s="21"/>
      <c r="CJ555" s="21"/>
      <c r="CK555" s="21"/>
      <c r="CL555" s="21"/>
      <c r="CM555" s="21"/>
      <c r="CN555" s="21"/>
      <c r="CO555" s="21"/>
      <c r="CP555" s="21"/>
      <c r="CQ555" s="21"/>
      <c r="CR555" s="21"/>
      <c r="CS555" s="21"/>
      <c r="CT555" s="21"/>
      <c r="CU555" s="21"/>
      <c r="CV555" s="21"/>
      <c r="CW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  <c r="CC556" s="21"/>
      <c r="CD556" s="21"/>
      <c r="CE556" s="21"/>
      <c r="CF556" s="21"/>
      <c r="CG556" s="21"/>
      <c r="CH556" s="21"/>
      <c r="CI556" s="21"/>
      <c r="CJ556" s="21"/>
      <c r="CK556" s="21"/>
      <c r="CL556" s="21"/>
      <c r="CM556" s="21"/>
      <c r="CN556" s="21"/>
      <c r="CO556" s="21"/>
      <c r="CP556" s="21"/>
      <c r="CQ556" s="21"/>
      <c r="CR556" s="21"/>
      <c r="CS556" s="21"/>
      <c r="CT556" s="21"/>
      <c r="CU556" s="21"/>
      <c r="CV556" s="21"/>
      <c r="CW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1"/>
      <c r="CE557" s="21"/>
      <c r="CF557" s="21"/>
      <c r="CG557" s="21"/>
      <c r="CH557" s="21"/>
      <c r="CI557" s="21"/>
      <c r="CJ557" s="21"/>
      <c r="CK557" s="21"/>
      <c r="CL557" s="21"/>
      <c r="CM557" s="21"/>
      <c r="CN557" s="21"/>
      <c r="CO557" s="21"/>
      <c r="CP557" s="21"/>
      <c r="CQ557" s="21"/>
      <c r="CR557" s="21"/>
      <c r="CS557" s="21"/>
      <c r="CT557" s="21"/>
      <c r="CU557" s="21"/>
      <c r="CV557" s="21"/>
      <c r="CW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1"/>
      <c r="CE558" s="21"/>
      <c r="CF558" s="21"/>
      <c r="CG558" s="21"/>
      <c r="CH558" s="21"/>
      <c r="CI558" s="21"/>
      <c r="CJ558" s="21"/>
      <c r="CK558" s="21"/>
      <c r="CL558" s="21"/>
      <c r="CM558" s="21"/>
      <c r="CN558" s="21"/>
      <c r="CO558" s="21"/>
      <c r="CP558" s="21"/>
      <c r="CQ558" s="21"/>
      <c r="CR558" s="21"/>
      <c r="CS558" s="21"/>
      <c r="CT558" s="21"/>
      <c r="CU558" s="21"/>
      <c r="CV558" s="21"/>
      <c r="CW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/>
      <c r="CF559" s="21"/>
      <c r="CG559" s="21"/>
      <c r="CH559" s="21"/>
      <c r="CI559" s="21"/>
      <c r="CJ559" s="21"/>
      <c r="CK559" s="21"/>
      <c r="CL559" s="21"/>
      <c r="CM559" s="21"/>
      <c r="CN559" s="21"/>
      <c r="CO559" s="21"/>
      <c r="CP559" s="21"/>
      <c r="CQ559" s="21"/>
      <c r="CR559" s="21"/>
      <c r="CS559" s="21"/>
      <c r="CT559" s="21"/>
      <c r="CU559" s="21"/>
      <c r="CV559" s="21"/>
      <c r="CW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1"/>
      <c r="CE560" s="21"/>
      <c r="CF560" s="21"/>
      <c r="CG560" s="21"/>
      <c r="CH560" s="21"/>
      <c r="CI560" s="21"/>
      <c r="CJ560" s="21"/>
      <c r="CK560" s="21"/>
      <c r="CL560" s="21"/>
      <c r="CM560" s="21"/>
      <c r="CN560" s="21"/>
      <c r="CO560" s="21"/>
      <c r="CP560" s="21"/>
      <c r="CQ560" s="21"/>
      <c r="CR560" s="21"/>
      <c r="CS560" s="21"/>
      <c r="CT560" s="21"/>
      <c r="CU560" s="21"/>
      <c r="CV560" s="21"/>
      <c r="CW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1"/>
      <c r="CE561" s="21"/>
      <c r="CF561" s="21"/>
      <c r="CG561" s="21"/>
      <c r="CH561" s="21"/>
      <c r="CI561" s="21"/>
      <c r="CJ561" s="21"/>
      <c r="CK561" s="21"/>
      <c r="CL561" s="21"/>
      <c r="CM561" s="21"/>
      <c r="CN561" s="21"/>
      <c r="CO561" s="21"/>
      <c r="CP561" s="21"/>
      <c r="CQ561" s="21"/>
      <c r="CR561" s="21"/>
      <c r="CS561" s="21"/>
      <c r="CT561" s="21"/>
      <c r="CU561" s="21"/>
      <c r="CV561" s="21"/>
      <c r="CW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21"/>
      <c r="CF562" s="21"/>
      <c r="CG562" s="21"/>
      <c r="CH562" s="21"/>
      <c r="CI562" s="21"/>
      <c r="CJ562" s="21"/>
      <c r="CK562" s="21"/>
      <c r="CL562" s="21"/>
      <c r="CM562" s="21"/>
      <c r="CN562" s="21"/>
      <c r="CO562" s="21"/>
      <c r="CP562" s="21"/>
      <c r="CQ562" s="21"/>
      <c r="CR562" s="21"/>
      <c r="CS562" s="21"/>
      <c r="CT562" s="21"/>
      <c r="CU562" s="21"/>
      <c r="CV562" s="21"/>
      <c r="CW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1"/>
      <c r="CE563" s="21"/>
      <c r="CF563" s="21"/>
      <c r="CG563" s="21"/>
      <c r="CH563" s="21"/>
      <c r="CI563" s="21"/>
      <c r="CJ563" s="21"/>
      <c r="CK563" s="21"/>
      <c r="CL563" s="21"/>
      <c r="CM563" s="21"/>
      <c r="CN563" s="21"/>
      <c r="CO563" s="21"/>
      <c r="CP563" s="21"/>
      <c r="CQ563" s="21"/>
      <c r="CR563" s="21"/>
      <c r="CS563" s="21"/>
      <c r="CT563" s="21"/>
      <c r="CU563" s="21"/>
      <c r="CV563" s="21"/>
      <c r="CW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1"/>
      <c r="CE564" s="21"/>
      <c r="CF564" s="21"/>
      <c r="CG564" s="21"/>
      <c r="CH564" s="21"/>
      <c r="CI564" s="21"/>
      <c r="CJ564" s="21"/>
      <c r="CK564" s="21"/>
      <c r="CL564" s="21"/>
      <c r="CM564" s="21"/>
      <c r="CN564" s="21"/>
      <c r="CO564" s="21"/>
      <c r="CP564" s="21"/>
      <c r="CQ564" s="21"/>
      <c r="CR564" s="21"/>
      <c r="CS564" s="21"/>
      <c r="CT564" s="21"/>
      <c r="CU564" s="21"/>
      <c r="CV564" s="21"/>
      <c r="CW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21"/>
      <c r="BT565" s="21"/>
      <c r="BU565" s="21"/>
      <c r="BV565" s="21"/>
      <c r="BW565" s="21"/>
      <c r="BX565" s="21"/>
      <c r="BY565" s="21"/>
      <c r="BZ565" s="21"/>
      <c r="CA565" s="21"/>
      <c r="CB565" s="21"/>
      <c r="CC565" s="21"/>
      <c r="CD565" s="21"/>
      <c r="CE565" s="21"/>
      <c r="CF565" s="21"/>
      <c r="CG565" s="21"/>
      <c r="CH565" s="21"/>
      <c r="CI565" s="21"/>
      <c r="CJ565" s="21"/>
      <c r="CK565" s="21"/>
      <c r="CL565" s="21"/>
      <c r="CM565" s="21"/>
      <c r="CN565" s="21"/>
      <c r="CO565" s="21"/>
      <c r="CP565" s="21"/>
      <c r="CQ565" s="21"/>
      <c r="CR565" s="21"/>
      <c r="CS565" s="21"/>
      <c r="CT565" s="21"/>
      <c r="CU565" s="21"/>
      <c r="CV565" s="21"/>
      <c r="CW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21"/>
      <c r="BT566" s="21"/>
      <c r="BU566" s="21"/>
      <c r="BV566" s="21"/>
      <c r="BW566" s="21"/>
      <c r="BX566" s="21"/>
      <c r="BY566" s="21"/>
      <c r="BZ566" s="21"/>
      <c r="CA566" s="21"/>
      <c r="CB566" s="21"/>
      <c r="CC566" s="21"/>
      <c r="CD566" s="21"/>
      <c r="CE566" s="21"/>
      <c r="CF566" s="21"/>
      <c r="CG566" s="21"/>
      <c r="CH566" s="21"/>
      <c r="CI566" s="21"/>
      <c r="CJ566" s="21"/>
      <c r="CK566" s="21"/>
      <c r="CL566" s="21"/>
      <c r="CM566" s="21"/>
      <c r="CN566" s="21"/>
      <c r="CO566" s="21"/>
      <c r="CP566" s="21"/>
      <c r="CQ566" s="21"/>
      <c r="CR566" s="21"/>
      <c r="CS566" s="21"/>
      <c r="CT566" s="21"/>
      <c r="CU566" s="21"/>
      <c r="CV566" s="21"/>
      <c r="CW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1"/>
      <c r="CE567" s="21"/>
      <c r="CF567" s="21"/>
      <c r="CG567" s="21"/>
      <c r="CH567" s="21"/>
      <c r="CI567" s="21"/>
      <c r="CJ567" s="21"/>
      <c r="CK567" s="21"/>
      <c r="CL567" s="21"/>
      <c r="CM567" s="21"/>
      <c r="CN567" s="21"/>
      <c r="CO567" s="21"/>
      <c r="CP567" s="21"/>
      <c r="CQ567" s="21"/>
      <c r="CR567" s="21"/>
      <c r="CS567" s="21"/>
      <c r="CT567" s="21"/>
      <c r="CU567" s="21"/>
      <c r="CV567" s="21"/>
      <c r="CW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  <c r="CA568" s="21"/>
      <c r="CB568" s="21"/>
      <c r="CC568" s="21"/>
      <c r="CD568" s="21"/>
      <c r="CE568" s="21"/>
      <c r="CF568" s="21"/>
      <c r="CG568" s="21"/>
      <c r="CH568" s="21"/>
      <c r="CI568" s="21"/>
      <c r="CJ568" s="21"/>
      <c r="CK568" s="21"/>
      <c r="CL568" s="21"/>
      <c r="CM568" s="21"/>
      <c r="CN568" s="21"/>
      <c r="CO568" s="21"/>
      <c r="CP568" s="21"/>
      <c r="CQ568" s="21"/>
      <c r="CR568" s="21"/>
      <c r="CS568" s="21"/>
      <c r="CT568" s="21"/>
      <c r="CU568" s="21"/>
      <c r="CV568" s="21"/>
      <c r="CW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1"/>
      <c r="CE569" s="21"/>
      <c r="CF569" s="21"/>
      <c r="CG569" s="21"/>
      <c r="CH569" s="21"/>
      <c r="CI569" s="21"/>
      <c r="CJ569" s="21"/>
      <c r="CK569" s="21"/>
      <c r="CL569" s="21"/>
      <c r="CM569" s="21"/>
      <c r="CN569" s="21"/>
      <c r="CO569" s="21"/>
      <c r="CP569" s="21"/>
      <c r="CQ569" s="21"/>
      <c r="CR569" s="21"/>
      <c r="CS569" s="21"/>
      <c r="CT569" s="21"/>
      <c r="CU569" s="21"/>
      <c r="CV569" s="21"/>
      <c r="CW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1"/>
      <c r="CE570" s="21"/>
      <c r="CF570" s="21"/>
      <c r="CG570" s="21"/>
      <c r="CH570" s="21"/>
      <c r="CI570" s="21"/>
      <c r="CJ570" s="21"/>
      <c r="CK570" s="21"/>
      <c r="CL570" s="21"/>
      <c r="CM570" s="21"/>
      <c r="CN570" s="21"/>
      <c r="CO570" s="21"/>
      <c r="CP570" s="21"/>
      <c r="CQ570" s="21"/>
      <c r="CR570" s="21"/>
      <c r="CS570" s="21"/>
      <c r="CT570" s="21"/>
      <c r="CU570" s="21"/>
      <c r="CV570" s="21"/>
      <c r="CW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1"/>
      <c r="CE571" s="21"/>
      <c r="CF571" s="21"/>
      <c r="CG571" s="21"/>
      <c r="CH571" s="21"/>
      <c r="CI571" s="21"/>
      <c r="CJ571" s="21"/>
      <c r="CK571" s="21"/>
      <c r="CL571" s="21"/>
      <c r="CM571" s="21"/>
      <c r="CN571" s="21"/>
      <c r="CO571" s="21"/>
      <c r="CP571" s="21"/>
      <c r="CQ571" s="21"/>
      <c r="CR571" s="21"/>
      <c r="CS571" s="21"/>
      <c r="CT571" s="21"/>
      <c r="CU571" s="21"/>
      <c r="CV571" s="21"/>
      <c r="CW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1"/>
      <c r="CE572" s="21"/>
      <c r="CF572" s="21"/>
      <c r="CG572" s="21"/>
      <c r="CH572" s="21"/>
      <c r="CI572" s="21"/>
      <c r="CJ572" s="21"/>
      <c r="CK572" s="21"/>
      <c r="CL572" s="21"/>
      <c r="CM572" s="21"/>
      <c r="CN572" s="21"/>
      <c r="CO572" s="21"/>
      <c r="CP572" s="21"/>
      <c r="CQ572" s="21"/>
      <c r="CR572" s="21"/>
      <c r="CS572" s="21"/>
      <c r="CT572" s="21"/>
      <c r="CU572" s="21"/>
      <c r="CV572" s="21"/>
      <c r="CW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21"/>
      <c r="CK573" s="21"/>
      <c r="CL573" s="21"/>
      <c r="CM573" s="21"/>
      <c r="CN573" s="21"/>
      <c r="CO573" s="21"/>
      <c r="CP573" s="21"/>
      <c r="CQ573" s="21"/>
      <c r="CR573" s="21"/>
      <c r="CS573" s="21"/>
      <c r="CT573" s="21"/>
      <c r="CU573" s="21"/>
      <c r="CV573" s="21"/>
      <c r="CW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1"/>
      <c r="CE574" s="21"/>
      <c r="CF574" s="21"/>
      <c r="CG574" s="21"/>
      <c r="CH574" s="21"/>
      <c r="CI574" s="21"/>
      <c r="CJ574" s="21"/>
      <c r="CK574" s="21"/>
      <c r="CL574" s="21"/>
      <c r="CM574" s="21"/>
      <c r="CN574" s="21"/>
      <c r="CO574" s="21"/>
      <c r="CP574" s="21"/>
      <c r="CQ574" s="21"/>
      <c r="CR574" s="21"/>
      <c r="CS574" s="21"/>
      <c r="CT574" s="21"/>
      <c r="CU574" s="21"/>
      <c r="CV574" s="21"/>
      <c r="CW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1"/>
      <c r="CE575" s="21"/>
      <c r="CF575" s="21"/>
      <c r="CG575" s="21"/>
      <c r="CH575" s="21"/>
      <c r="CI575" s="21"/>
      <c r="CJ575" s="21"/>
      <c r="CK575" s="21"/>
      <c r="CL575" s="21"/>
      <c r="CM575" s="21"/>
      <c r="CN575" s="21"/>
      <c r="CO575" s="21"/>
      <c r="CP575" s="21"/>
      <c r="CQ575" s="21"/>
      <c r="CR575" s="21"/>
      <c r="CS575" s="21"/>
      <c r="CT575" s="21"/>
      <c r="CU575" s="21"/>
      <c r="CV575" s="21"/>
      <c r="CW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21"/>
      <c r="CF576" s="21"/>
      <c r="CG576" s="21"/>
      <c r="CH576" s="21"/>
      <c r="CI576" s="21"/>
      <c r="CJ576" s="21"/>
      <c r="CK576" s="21"/>
      <c r="CL576" s="21"/>
      <c r="CM576" s="21"/>
      <c r="CN576" s="21"/>
      <c r="CO576" s="21"/>
      <c r="CP576" s="21"/>
      <c r="CQ576" s="21"/>
      <c r="CR576" s="21"/>
      <c r="CS576" s="21"/>
      <c r="CT576" s="21"/>
      <c r="CU576" s="21"/>
      <c r="CV576" s="21"/>
      <c r="CW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1"/>
      <c r="CE577" s="21"/>
      <c r="CF577" s="21"/>
      <c r="CG577" s="21"/>
      <c r="CH577" s="21"/>
      <c r="CI577" s="21"/>
      <c r="CJ577" s="21"/>
      <c r="CK577" s="21"/>
      <c r="CL577" s="21"/>
      <c r="CM577" s="21"/>
      <c r="CN577" s="21"/>
      <c r="CO577" s="21"/>
      <c r="CP577" s="21"/>
      <c r="CQ577" s="21"/>
      <c r="CR577" s="21"/>
      <c r="CS577" s="21"/>
      <c r="CT577" s="21"/>
      <c r="CU577" s="21"/>
      <c r="CV577" s="21"/>
      <c r="CW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1"/>
      <c r="CE578" s="21"/>
      <c r="CF578" s="21"/>
      <c r="CG578" s="21"/>
      <c r="CH578" s="21"/>
      <c r="CI578" s="21"/>
      <c r="CJ578" s="21"/>
      <c r="CK578" s="21"/>
      <c r="CL578" s="21"/>
      <c r="CM578" s="21"/>
      <c r="CN578" s="21"/>
      <c r="CO578" s="21"/>
      <c r="CP578" s="21"/>
      <c r="CQ578" s="21"/>
      <c r="CR578" s="21"/>
      <c r="CS578" s="21"/>
      <c r="CT578" s="21"/>
      <c r="CU578" s="21"/>
      <c r="CV578" s="21"/>
      <c r="CW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  <c r="CA579" s="21"/>
      <c r="CB579" s="21"/>
      <c r="CC579" s="21"/>
      <c r="CD579" s="21"/>
      <c r="CE579" s="21"/>
      <c r="CF579" s="21"/>
      <c r="CG579" s="21"/>
      <c r="CH579" s="21"/>
      <c r="CI579" s="21"/>
      <c r="CJ579" s="21"/>
      <c r="CK579" s="21"/>
      <c r="CL579" s="21"/>
      <c r="CM579" s="21"/>
      <c r="CN579" s="21"/>
      <c r="CO579" s="21"/>
      <c r="CP579" s="21"/>
      <c r="CQ579" s="21"/>
      <c r="CR579" s="21"/>
      <c r="CS579" s="21"/>
      <c r="CT579" s="21"/>
      <c r="CU579" s="21"/>
      <c r="CV579" s="21"/>
      <c r="CW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1"/>
      <c r="CE580" s="21"/>
      <c r="CF580" s="21"/>
      <c r="CG580" s="21"/>
      <c r="CH580" s="21"/>
      <c r="CI580" s="21"/>
      <c r="CJ580" s="21"/>
      <c r="CK580" s="21"/>
      <c r="CL580" s="21"/>
      <c r="CM580" s="21"/>
      <c r="CN580" s="21"/>
      <c r="CO580" s="21"/>
      <c r="CP580" s="21"/>
      <c r="CQ580" s="21"/>
      <c r="CR580" s="21"/>
      <c r="CS580" s="21"/>
      <c r="CT580" s="21"/>
      <c r="CU580" s="21"/>
      <c r="CV580" s="21"/>
      <c r="CW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1"/>
      <c r="CE581" s="21"/>
      <c r="CF581" s="21"/>
      <c r="CG581" s="21"/>
      <c r="CH581" s="21"/>
      <c r="CI581" s="21"/>
      <c r="CJ581" s="21"/>
      <c r="CK581" s="21"/>
      <c r="CL581" s="21"/>
      <c r="CM581" s="21"/>
      <c r="CN581" s="21"/>
      <c r="CO581" s="21"/>
      <c r="CP581" s="21"/>
      <c r="CQ581" s="21"/>
      <c r="CR581" s="21"/>
      <c r="CS581" s="21"/>
      <c r="CT581" s="21"/>
      <c r="CU581" s="21"/>
      <c r="CV581" s="21"/>
      <c r="CW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  <c r="CA582" s="21"/>
      <c r="CB582" s="21"/>
      <c r="CC582" s="21"/>
      <c r="CD582" s="21"/>
      <c r="CE582" s="21"/>
      <c r="CF582" s="21"/>
      <c r="CG582" s="21"/>
      <c r="CH582" s="21"/>
      <c r="CI582" s="21"/>
      <c r="CJ582" s="21"/>
      <c r="CK582" s="21"/>
      <c r="CL582" s="21"/>
      <c r="CM582" s="21"/>
      <c r="CN582" s="21"/>
      <c r="CO582" s="21"/>
      <c r="CP582" s="21"/>
      <c r="CQ582" s="21"/>
      <c r="CR582" s="21"/>
      <c r="CS582" s="21"/>
      <c r="CT582" s="21"/>
      <c r="CU582" s="21"/>
      <c r="CV582" s="21"/>
      <c r="CW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1"/>
      <c r="CE583" s="21"/>
      <c r="CF583" s="21"/>
      <c r="CG583" s="21"/>
      <c r="CH583" s="21"/>
      <c r="CI583" s="21"/>
      <c r="CJ583" s="21"/>
      <c r="CK583" s="21"/>
      <c r="CL583" s="21"/>
      <c r="CM583" s="21"/>
      <c r="CN583" s="21"/>
      <c r="CO583" s="21"/>
      <c r="CP583" s="21"/>
      <c r="CQ583" s="21"/>
      <c r="CR583" s="21"/>
      <c r="CS583" s="21"/>
      <c r="CT583" s="21"/>
      <c r="CU583" s="21"/>
      <c r="CV583" s="21"/>
      <c r="CW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  <c r="CA584" s="21"/>
      <c r="CB584" s="21"/>
      <c r="CC584" s="21"/>
      <c r="CD584" s="21"/>
      <c r="CE584" s="21"/>
      <c r="CF584" s="21"/>
      <c r="CG584" s="21"/>
      <c r="CH584" s="21"/>
      <c r="CI584" s="21"/>
      <c r="CJ584" s="21"/>
      <c r="CK584" s="21"/>
      <c r="CL584" s="21"/>
      <c r="CM584" s="21"/>
      <c r="CN584" s="21"/>
      <c r="CO584" s="21"/>
      <c r="CP584" s="21"/>
      <c r="CQ584" s="21"/>
      <c r="CR584" s="21"/>
      <c r="CS584" s="21"/>
      <c r="CT584" s="21"/>
      <c r="CU584" s="21"/>
      <c r="CV584" s="21"/>
      <c r="CW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  <c r="CA585" s="21"/>
      <c r="CB585" s="21"/>
      <c r="CC585" s="21"/>
      <c r="CD585" s="21"/>
      <c r="CE585" s="21"/>
      <c r="CF585" s="21"/>
      <c r="CG585" s="21"/>
      <c r="CH585" s="21"/>
      <c r="CI585" s="21"/>
      <c r="CJ585" s="21"/>
      <c r="CK585" s="21"/>
      <c r="CL585" s="21"/>
      <c r="CM585" s="21"/>
      <c r="CN585" s="21"/>
      <c r="CO585" s="21"/>
      <c r="CP585" s="21"/>
      <c r="CQ585" s="21"/>
      <c r="CR585" s="21"/>
      <c r="CS585" s="21"/>
      <c r="CT585" s="21"/>
      <c r="CU585" s="21"/>
      <c r="CV585" s="21"/>
      <c r="CW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1"/>
      <c r="CE586" s="21"/>
      <c r="CF586" s="21"/>
      <c r="CG586" s="21"/>
      <c r="CH586" s="21"/>
      <c r="CI586" s="21"/>
      <c r="CJ586" s="21"/>
      <c r="CK586" s="21"/>
      <c r="CL586" s="21"/>
      <c r="CM586" s="21"/>
      <c r="CN586" s="21"/>
      <c r="CO586" s="21"/>
      <c r="CP586" s="21"/>
      <c r="CQ586" s="21"/>
      <c r="CR586" s="21"/>
      <c r="CS586" s="21"/>
      <c r="CT586" s="21"/>
      <c r="CU586" s="21"/>
      <c r="CV586" s="21"/>
      <c r="CW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21"/>
      <c r="CK587" s="21"/>
      <c r="CL587" s="21"/>
      <c r="CM587" s="21"/>
      <c r="CN587" s="21"/>
      <c r="CO587" s="21"/>
      <c r="CP587" s="21"/>
      <c r="CQ587" s="21"/>
      <c r="CR587" s="21"/>
      <c r="CS587" s="21"/>
      <c r="CT587" s="21"/>
      <c r="CU587" s="21"/>
      <c r="CV587" s="21"/>
      <c r="CW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  <c r="CA588" s="21"/>
      <c r="CB588" s="21"/>
      <c r="CC588" s="21"/>
      <c r="CD588" s="21"/>
      <c r="CE588" s="21"/>
      <c r="CF588" s="21"/>
      <c r="CG588" s="21"/>
      <c r="CH588" s="21"/>
      <c r="CI588" s="21"/>
      <c r="CJ588" s="21"/>
      <c r="CK588" s="21"/>
      <c r="CL588" s="21"/>
      <c r="CM588" s="21"/>
      <c r="CN588" s="21"/>
      <c r="CO588" s="21"/>
      <c r="CP588" s="21"/>
      <c r="CQ588" s="21"/>
      <c r="CR588" s="21"/>
      <c r="CS588" s="21"/>
      <c r="CT588" s="21"/>
      <c r="CU588" s="21"/>
      <c r="CV588" s="21"/>
      <c r="CW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1"/>
      <c r="CE589" s="21"/>
      <c r="CF589" s="21"/>
      <c r="CG589" s="21"/>
      <c r="CH589" s="21"/>
      <c r="CI589" s="21"/>
      <c r="CJ589" s="21"/>
      <c r="CK589" s="21"/>
      <c r="CL589" s="21"/>
      <c r="CM589" s="21"/>
      <c r="CN589" s="21"/>
      <c r="CO589" s="21"/>
      <c r="CP589" s="21"/>
      <c r="CQ589" s="21"/>
      <c r="CR589" s="21"/>
      <c r="CS589" s="21"/>
      <c r="CT589" s="21"/>
      <c r="CU589" s="21"/>
      <c r="CV589" s="21"/>
      <c r="CW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21"/>
      <c r="CK590" s="21"/>
      <c r="CL590" s="21"/>
      <c r="CM590" s="21"/>
      <c r="CN590" s="21"/>
      <c r="CO590" s="21"/>
      <c r="CP590" s="21"/>
      <c r="CQ590" s="21"/>
      <c r="CR590" s="21"/>
      <c r="CS590" s="21"/>
      <c r="CT590" s="21"/>
      <c r="CU590" s="21"/>
      <c r="CV590" s="21"/>
      <c r="CW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  <c r="CA591" s="21"/>
      <c r="CB591" s="21"/>
      <c r="CC591" s="21"/>
      <c r="CD591" s="21"/>
      <c r="CE591" s="21"/>
      <c r="CF591" s="21"/>
      <c r="CG591" s="21"/>
      <c r="CH591" s="21"/>
      <c r="CI591" s="21"/>
      <c r="CJ591" s="21"/>
      <c r="CK591" s="21"/>
      <c r="CL591" s="21"/>
      <c r="CM591" s="21"/>
      <c r="CN591" s="21"/>
      <c r="CO591" s="21"/>
      <c r="CP591" s="21"/>
      <c r="CQ591" s="21"/>
      <c r="CR591" s="21"/>
      <c r="CS591" s="21"/>
      <c r="CT591" s="21"/>
      <c r="CU591" s="21"/>
      <c r="CV591" s="21"/>
      <c r="CW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  <c r="CA592" s="21"/>
      <c r="CB592" s="21"/>
      <c r="CC592" s="21"/>
      <c r="CD592" s="21"/>
      <c r="CE592" s="21"/>
      <c r="CF592" s="21"/>
      <c r="CG592" s="21"/>
      <c r="CH592" s="21"/>
      <c r="CI592" s="21"/>
      <c r="CJ592" s="21"/>
      <c r="CK592" s="21"/>
      <c r="CL592" s="21"/>
      <c r="CM592" s="21"/>
      <c r="CN592" s="21"/>
      <c r="CO592" s="21"/>
      <c r="CP592" s="21"/>
      <c r="CQ592" s="21"/>
      <c r="CR592" s="21"/>
      <c r="CS592" s="21"/>
      <c r="CT592" s="21"/>
      <c r="CU592" s="21"/>
      <c r="CV592" s="21"/>
      <c r="CW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  <c r="CA593" s="21"/>
      <c r="CB593" s="21"/>
      <c r="CC593" s="21"/>
      <c r="CD593" s="21"/>
      <c r="CE593" s="21"/>
      <c r="CF593" s="21"/>
      <c r="CG593" s="21"/>
      <c r="CH593" s="21"/>
      <c r="CI593" s="21"/>
      <c r="CJ593" s="21"/>
      <c r="CK593" s="21"/>
      <c r="CL593" s="21"/>
      <c r="CM593" s="21"/>
      <c r="CN593" s="21"/>
      <c r="CO593" s="21"/>
      <c r="CP593" s="21"/>
      <c r="CQ593" s="21"/>
      <c r="CR593" s="21"/>
      <c r="CS593" s="21"/>
      <c r="CT593" s="21"/>
      <c r="CU593" s="21"/>
      <c r="CV593" s="21"/>
      <c r="CW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1"/>
      <c r="CE594" s="21"/>
      <c r="CF594" s="21"/>
      <c r="CG594" s="21"/>
      <c r="CH594" s="21"/>
      <c r="CI594" s="21"/>
      <c r="CJ594" s="21"/>
      <c r="CK594" s="21"/>
      <c r="CL594" s="21"/>
      <c r="CM594" s="21"/>
      <c r="CN594" s="21"/>
      <c r="CO594" s="21"/>
      <c r="CP594" s="21"/>
      <c r="CQ594" s="21"/>
      <c r="CR594" s="21"/>
      <c r="CS594" s="21"/>
      <c r="CT594" s="21"/>
      <c r="CU594" s="21"/>
      <c r="CV594" s="21"/>
      <c r="CW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1"/>
      <c r="CE595" s="21"/>
      <c r="CF595" s="21"/>
      <c r="CG595" s="21"/>
      <c r="CH595" s="21"/>
      <c r="CI595" s="21"/>
      <c r="CJ595" s="21"/>
      <c r="CK595" s="21"/>
      <c r="CL595" s="21"/>
      <c r="CM595" s="21"/>
      <c r="CN595" s="21"/>
      <c r="CO595" s="21"/>
      <c r="CP595" s="21"/>
      <c r="CQ595" s="21"/>
      <c r="CR595" s="21"/>
      <c r="CS595" s="21"/>
      <c r="CT595" s="21"/>
      <c r="CU595" s="21"/>
      <c r="CV595" s="21"/>
      <c r="CW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  <c r="CC596" s="21"/>
      <c r="CD596" s="21"/>
      <c r="CE596" s="21"/>
      <c r="CF596" s="21"/>
      <c r="CG596" s="21"/>
      <c r="CH596" s="21"/>
      <c r="CI596" s="21"/>
      <c r="CJ596" s="21"/>
      <c r="CK596" s="21"/>
      <c r="CL596" s="21"/>
      <c r="CM596" s="21"/>
      <c r="CN596" s="21"/>
      <c r="CO596" s="21"/>
      <c r="CP596" s="21"/>
      <c r="CQ596" s="21"/>
      <c r="CR596" s="21"/>
      <c r="CS596" s="21"/>
      <c r="CT596" s="21"/>
      <c r="CU596" s="21"/>
      <c r="CV596" s="21"/>
      <c r="CW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1"/>
      <c r="CE597" s="21"/>
      <c r="CF597" s="21"/>
      <c r="CG597" s="21"/>
      <c r="CH597" s="21"/>
      <c r="CI597" s="21"/>
      <c r="CJ597" s="21"/>
      <c r="CK597" s="21"/>
      <c r="CL597" s="21"/>
      <c r="CM597" s="21"/>
      <c r="CN597" s="21"/>
      <c r="CO597" s="21"/>
      <c r="CP597" s="21"/>
      <c r="CQ597" s="21"/>
      <c r="CR597" s="21"/>
      <c r="CS597" s="21"/>
      <c r="CT597" s="21"/>
      <c r="CU597" s="21"/>
      <c r="CV597" s="21"/>
      <c r="CW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1"/>
      <c r="CE598" s="21"/>
      <c r="CF598" s="21"/>
      <c r="CG598" s="21"/>
      <c r="CH598" s="21"/>
      <c r="CI598" s="21"/>
      <c r="CJ598" s="21"/>
      <c r="CK598" s="21"/>
      <c r="CL598" s="21"/>
      <c r="CM598" s="21"/>
      <c r="CN598" s="21"/>
      <c r="CO598" s="21"/>
      <c r="CP598" s="21"/>
      <c r="CQ598" s="21"/>
      <c r="CR598" s="21"/>
      <c r="CS598" s="21"/>
      <c r="CT598" s="21"/>
      <c r="CU598" s="21"/>
      <c r="CV598" s="21"/>
      <c r="CW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21"/>
      <c r="BT599" s="21"/>
      <c r="BU599" s="21"/>
      <c r="BV599" s="21"/>
      <c r="BW599" s="21"/>
      <c r="BX599" s="21"/>
      <c r="BY599" s="21"/>
      <c r="BZ599" s="21"/>
      <c r="CA599" s="21"/>
      <c r="CB599" s="21"/>
      <c r="CC599" s="21"/>
      <c r="CD599" s="21"/>
      <c r="CE599" s="21"/>
      <c r="CF599" s="21"/>
      <c r="CG599" s="21"/>
      <c r="CH599" s="21"/>
      <c r="CI599" s="21"/>
      <c r="CJ599" s="21"/>
      <c r="CK599" s="21"/>
      <c r="CL599" s="21"/>
      <c r="CM599" s="21"/>
      <c r="CN599" s="21"/>
      <c r="CO599" s="21"/>
      <c r="CP599" s="21"/>
      <c r="CQ599" s="21"/>
      <c r="CR599" s="21"/>
      <c r="CS599" s="21"/>
      <c r="CT599" s="21"/>
      <c r="CU599" s="21"/>
      <c r="CV599" s="21"/>
      <c r="CW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  <c r="CB600" s="21"/>
      <c r="CC600" s="21"/>
      <c r="CD600" s="21"/>
      <c r="CE600" s="21"/>
      <c r="CF600" s="21"/>
      <c r="CG600" s="21"/>
      <c r="CH600" s="21"/>
      <c r="CI600" s="21"/>
      <c r="CJ600" s="21"/>
      <c r="CK600" s="21"/>
      <c r="CL600" s="21"/>
      <c r="CM600" s="21"/>
      <c r="CN600" s="21"/>
      <c r="CO600" s="21"/>
      <c r="CP600" s="21"/>
      <c r="CQ600" s="21"/>
      <c r="CR600" s="21"/>
      <c r="CS600" s="21"/>
      <c r="CT600" s="21"/>
      <c r="CU600" s="21"/>
      <c r="CV600" s="21"/>
      <c r="CW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1"/>
      <c r="CE601" s="21"/>
      <c r="CF601" s="21"/>
      <c r="CG601" s="21"/>
      <c r="CH601" s="21"/>
      <c r="CI601" s="21"/>
      <c r="CJ601" s="21"/>
      <c r="CK601" s="21"/>
      <c r="CL601" s="21"/>
      <c r="CM601" s="21"/>
      <c r="CN601" s="21"/>
      <c r="CO601" s="21"/>
      <c r="CP601" s="21"/>
      <c r="CQ601" s="21"/>
      <c r="CR601" s="21"/>
      <c r="CS601" s="21"/>
      <c r="CT601" s="21"/>
      <c r="CU601" s="21"/>
      <c r="CV601" s="21"/>
      <c r="CW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1"/>
      <c r="CE602" s="21"/>
      <c r="CF602" s="21"/>
      <c r="CG602" s="21"/>
      <c r="CH602" s="21"/>
      <c r="CI602" s="21"/>
      <c r="CJ602" s="21"/>
      <c r="CK602" s="21"/>
      <c r="CL602" s="21"/>
      <c r="CM602" s="21"/>
      <c r="CN602" s="21"/>
      <c r="CO602" s="21"/>
      <c r="CP602" s="21"/>
      <c r="CQ602" s="21"/>
      <c r="CR602" s="21"/>
      <c r="CS602" s="21"/>
      <c r="CT602" s="21"/>
      <c r="CU602" s="21"/>
      <c r="CV602" s="21"/>
      <c r="CW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1"/>
      <c r="CE603" s="21"/>
      <c r="CF603" s="21"/>
      <c r="CG603" s="21"/>
      <c r="CH603" s="21"/>
      <c r="CI603" s="21"/>
      <c r="CJ603" s="21"/>
      <c r="CK603" s="21"/>
      <c r="CL603" s="21"/>
      <c r="CM603" s="21"/>
      <c r="CN603" s="21"/>
      <c r="CO603" s="21"/>
      <c r="CP603" s="21"/>
      <c r="CQ603" s="21"/>
      <c r="CR603" s="21"/>
      <c r="CS603" s="21"/>
      <c r="CT603" s="21"/>
      <c r="CU603" s="21"/>
      <c r="CV603" s="21"/>
      <c r="CW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21"/>
      <c r="CK604" s="21"/>
      <c r="CL604" s="21"/>
      <c r="CM604" s="21"/>
      <c r="CN604" s="21"/>
      <c r="CO604" s="21"/>
      <c r="CP604" s="21"/>
      <c r="CQ604" s="21"/>
      <c r="CR604" s="21"/>
      <c r="CS604" s="21"/>
      <c r="CT604" s="21"/>
      <c r="CU604" s="21"/>
      <c r="CV604" s="21"/>
      <c r="CW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21"/>
      <c r="CK605" s="21"/>
      <c r="CL605" s="21"/>
      <c r="CM605" s="21"/>
      <c r="CN605" s="21"/>
      <c r="CO605" s="21"/>
      <c r="CP605" s="21"/>
      <c r="CQ605" s="21"/>
      <c r="CR605" s="21"/>
      <c r="CS605" s="21"/>
      <c r="CT605" s="21"/>
      <c r="CU605" s="21"/>
      <c r="CV605" s="21"/>
      <c r="CW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21"/>
      <c r="CK606" s="21"/>
      <c r="CL606" s="21"/>
      <c r="CM606" s="21"/>
      <c r="CN606" s="21"/>
      <c r="CO606" s="21"/>
      <c r="CP606" s="21"/>
      <c r="CQ606" s="21"/>
      <c r="CR606" s="21"/>
      <c r="CS606" s="21"/>
      <c r="CT606" s="21"/>
      <c r="CU606" s="21"/>
      <c r="CV606" s="21"/>
      <c r="CW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21"/>
      <c r="CK608" s="21"/>
      <c r="CL608" s="21"/>
      <c r="CM608" s="21"/>
      <c r="CN608" s="21"/>
      <c r="CO608" s="21"/>
      <c r="CP608" s="21"/>
      <c r="CQ608" s="21"/>
      <c r="CR608" s="21"/>
      <c r="CS608" s="21"/>
      <c r="CT608" s="21"/>
      <c r="CU608" s="21"/>
      <c r="CV608" s="21"/>
      <c r="CW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  <c r="CV609" s="21"/>
      <c r="CW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21"/>
      <c r="CK610" s="21"/>
      <c r="CL610" s="21"/>
      <c r="CM610" s="21"/>
      <c r="CN610" s="21"/>
      <c r="CO610" s="21"/>
      <c r="CP610" s="21"/>
      <c r="CQ610" s="21"/>
      <c r="CR610" s="21"/>
      <c r="CS610" s="21"/>
      <c r="CT610" s="21"/>
      <c r="CU610" s="21"/>
      <c r="CV610" s="21"/>
      <c r="CW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1"/>
      <c r="CE611" s="21"/>
      <c r="CF611" s="21"/>
      <c r="CG611" s="21"/>
      <c r="CH611" s="21"/>
      <c r="CI611" s="21"/>
      <c r="CJ611" s="21"/>
      <c r="CK611" s="21"/>
      <c r="CL611" s="21"/>
      <c r="CM611" s="21"/>
      <c r="CN611" s="21"/>
      <c r="CO611" s="21"/>
      <c r="CP611" s="21"/>
      <c r="CQ611" s="21"/>
      <c r="CR611" s="21"/>
      <c r="CS611" s="21"/>
      <c r="CT611" s="21"/>
      <c r="CU611" s="21"/>
      <c r="CV611" s="21"/>
      <c r="CW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1"/>
      <c r="CE612" s="21"/>
      <c r="CF612" s="21"/>
      <c r="CG612" s="21"/>
      <c r="CH612" s="21"/>
      <c r="CI612" s="21"/>
      <c r="CJ612" s="21"/>
      <c r="CK612" s="21"/>
      <c r="CL612" s="21"/>
      <c r="CM612" s="21"/>
      <c r="CN612" s="21"/>
      <c r="CO612" s="21"/>
      <c r="CP612" s="21"/>
      <c r="CQ612" s="21"/>
      <c r="CR612" s="21"/>
      <c r="CS612" s="21"/>
      <c r="CT612" s="21"/>
      <c r="CU612" s="21"/>
      <c r="CV612" s="21"/>
      <c r="CW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1"/>
      <c r="CE613" s="21"/>
      <c r="CF613" s="21"/>
      <c r="CG613" s="21"/>
      <c r="CH613" s="21"/>
      <c r="CI613" s="21"/>
      <c r="CJ613" s="21"/>
      <c r="CK613" s="21"/>
      <c r="CL613" s="21"/>
      <c r="CM613" s="21"/>
      <c r="CN613" s="21"/>
      <c r="CO613" s="21"/>
      <c r="CP613" s="21"/>
      <c r="CQ613" s="21"/>
      <c r="CR613" s="21"/>
      <c r="CS613" s="21"/>
      <c r="CT613" s="21"/>
      <c r="CU613" s="21"/>
      <c r="CV613" s="21"/>
      <c r="CW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1"/>
      <c r="CE614" s="21"/>
      <c r="CF614" s="21"/>
      <c r="CG614" s="21"/>
      <c r="CH614" s="21"/>
      <c r="CI614" s="21"/>
      <c r="CJ614" s="21"/>
      <c r="CK614" s="21"/>
      <c r="CL614" s="21"/>
      <c r="CM614" s="21"/>
      <c r="CN614" s="21"/>
      <c r="CO614" s="21"/>
      <c r="CP614" s="21"/>
      <c r="CQ614" s="21"/>
      <c r="CR614" s="21"/>
      <c r="CS614" s="21"/>
      <c r="CT614" s="21"/>
      <c r="CU614" s="21"/>
      <c r="CV614" s="21"/>
      <c r="CW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21"/>
      <c r="CK615" s="21"/>
      <c r="CL615" s="21"/>
      <c r="CM615" s="21"/>
      <c r="CN615" s="21"/>
      <c r="CO615" s="21"/>
      <c r="CP615" s="21"/>
      <c r="CQ615" s="21"/>
      <c r="CR615" s="21"/>
      <c r="CS615" s="21"/>
      <c r="CT615" s="21"/>
      <c r="CU615" s="21"/>
      <c r="CV615" s="21"/>
      <c r="CW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E617" s="21"/>
      <c r="CF617" s="21"/>
      <c r="CG617" s="21"/>
      <c r="CH617" s="21"/>
      <c r="CI617" s="21"/>
      <c r="CJ617" s="21"/>
      <c r="CK617" s="21"/>
      <c r="CL617" s="21"/>
      <c r="CM617" s="21"/>
      <c r="CN617" s="21"/>
      <c r="CO617" s="21"/>
      <c r="CP617" s="21"/>
      <c r="CQ617" s="21"/>
      <c r="CR617" s="21"/>
      <c r="CS617" s="21"/>
      <c r="CT617" s="21"/>
      <c r="CU617" s="21"/>
      <c r="CV617" s="21"/>
      <c r="CW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  <c r="CC618" s="21"/>
      <c r="CD618" s="21"/>
      <c r="CE618" s="21"/>
      <c r="CF618" s="21"/>
      <c r="CG618" s="21"/>
      <c r="CH618" s="21"/>
      <c r="CI618" s="21"/>
      <c r="CJ618" s="21"/>
      <c r="CK618" s="21"/>
      <c r="CL618" s="21"/>
      <c r="CM618" s="21"/>
      <c r="CN618" s="21"/>
      <c r="CO618" s="21"/>
      <c r="CP618" s="21"/>
      <c r="CQ618" s="21"/>
      <c r="CR618" s="21"/>
      <c r="CS618" s="21"/>
      <c r="CT618" s="21"/>
      <c r="CU618" s="21"/>
      <c r="CV618" s="21"/>
      <c r="CW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D619" s="21"/>
      <c r="CE619" s="21"/>
      <c r="CF619" s="21"/>
      <c r="CG619" s="21"/>
      <c r="CH619" s="21"/>
      <c r="CI619" s="21"/>
      <c r="CJ619" s="21"/>
      <c r="CK619" s="21"/>
      <c r="CL619" s="21"/>
      <c r="CM619" s="21"/>
      <c r="CN619" s="21"/>
      <c r="CO619" s="21"/>
      <c r="CP619" s="21"/>
      <c r="CQ619" s="21"/>
      <c r="CR619" s="21"/>
      <c r="CS619" s="21"/>
      <c r="CT619" s="21"/>
      <c r="CU619" s="21"/>
      <c r="CV619" s="21"/>
      <c r="CW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  <c r="CA620" s="21"/>
      <c r="CB620" s="21"/>
      <c r="CC620" s="21"/>
      <c r="CD620" s="21"/>
      <c r="CE620" s="21"/>
      <c r="CF620" s="21"/>
      <c r="CG620" s="21"/>
      <c r="CH620" s="21"/>
      <c r="CI620" s="21"/>
      <c r="CJ620" s="21"/>
      <c r="CK620" s="21"/>
      <c r="CL620" s="21"/>
      <c r="CM620" s="21"/>
      <c r="CN620" s="21"/>
      <c r="CO620" s="21"/>
      <c r="CP620" s="21"/>
      <c r="CQ620" s="21"/>
      <c r="CR620" s="21"/>
      <c r="CS620" s="21"/>
      <c r="CT620" s="21"/>
      <c r="CU620" s="21"/>
      <c r="CV620" s="21"/>
      <c r="CW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  <c r="CA621" s="21"/>
      <c r="CB621" s="21"/>
      <c r="CC621" s="21"/>
      <c r="CD621" s="21"/>
      <c r="CE621" s="21"/>
      <c r="CF621" s="21"/>
      <c r="CG621" s="21"/>
      <c r="CH621" s="21"/>
      <c r="CI621" s="21"/>
      <c r="CJ621" s="21"/>
      <c r="CK621" s="21"/>
      <c r="CL621" s="21"/>
      <c r="CM621" s="21"/>
      <c r="CN621" s="21"/>
      <c r="CO621" s="21"/>
      <c r="CP621" s="21"/>
      <c r="CQ621" s="21"/>
      <c r="CR621" s="21"/>
      <c r="CS621" s="21"/>
      <c r="CT621" s="21"/>
      <c r="CU621" s="21"/>
      <c r="CV621" s="21"/>
      <c r="CW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  <c r="CA622" s="21"/>
      <c r="CB622" s="21"/>
      <c r="CC622" s="21"/>
      <c r="CD622" s="21"/>
      <c r="CE622" s="21"/>
      <c r="CF622" s="21"/>
      <c r="CG622" s="21"/>
      <c r="CH622" s="21"/>
      <c r="CI622" s="21"/>
      <c r="CJ622" s="21"/>
      <c r="CK622" s="21"/>
      <c r="CL622" s="21"/>
      <c r="CM622" s="21"/>
      <c r="CN622" s="21"/>
      <c r="CO622" s="21"/>
      <c r="CP622" s="21"/>
      <c r="CQ622" s="21"/>
      <c r="CR622" s="21"/>
      <c r="CS622" s="21"/>
      <c r="CT622" s="21"/>
      <c r="CU622" s="21"/>
      <c r="CV622" s="21"/>
      <c r="CW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  <c r="CC623" s="21"/>
      <c r="CD623" s="21"/>
      <c r="CE623" s="21"/>
      <c r="CF623" s="21"/>
      <c r="CG623" s="21"/>
      <c r="CH623" s="21"/>
      <c r="CI623" s="21"/>
      <c r="CJ623" s="21"/>
      <c r="CK623" s="21"/>
      <c r="CL623" s="21"/>
      <c r="CM623" s="21"/>
      <c r="CN623" s="21"/>
      <c r="CO623" s="21"/>
      <c r="CP623" s="21"/>
      <c r="CQ623" s="21"/>
      <c r="CR623" s="21"/>
      <c r="CS623" s="21"/>
      <c r="CT623" s="21"/>
      <c r="CU623" s="21"/>
      <c r="CV623" s="21"/>
      <c r="CW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21"/>
      <c r="CK624" s="21"/>
      <c r="CL624" s="21"/>
      <c r="CM624" s="21"/>
      <c r="CN624" s="21"/>
      <c r="CO624" s="21"/>
      <c r="CP624" s="21"/>
      <c r="CQ624" s="21"/>
      <c r="CR624" s="21"/>
      <c r="CS624" s="21"/>
      <c r="CT624" s="21"/>
      <c r="CU624" s="21"/>
      <c r="CV624" s="21"/>
      <c r="CW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  <c r="CA625" s="21"/>
      <c r="CB625" s="21"/>
      <c r="CC625" s="21"/>
      <c r="CD625" s="21"/>
      <c r="CE625" s="21"/>
      <c r="CF625" s="21"/>
      <c r="CG625" s="21"/>
      <c r="CH625" s="21"/>
      <c r="CI625" s="21"/>
      <c r="CJ625" s="21"/>
      <c r="CK625" s="21"/>
      <c r="CL625" s="21"/>
      <c r="CM625" s="21"/>
      <c r="CN625" s="21"/>
      <c r="CO625" s="21"/>
      <c r="CP625" s="21"/>
      <c r="CQ625" s="21"/>
      <c r="CR625" s="21"/>
      <c r="CS625" s="21"/>
      <c r="CT625" s="21"/>
      <c r="CU625" s="21"/>
      <c r="CV625" s="21"/>
      <c r="CW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  <c r="CA626" s="21"/>
      <c r="CB626" s="21"/>
      <c r="CC626" s="21"/>
      <c r="CD626" s="21"/>
      <c r="CE626" s="21"/>
      <c r="CF626" s="21"/>
      <c r="CG626" s="21"/>
      <c r="CH626" s="21"/>
      <c r="CI626" s="21"/>
      <c r="CJ626" s="21"/>
      <c r="CK626" s="21"/>
      <c r="CL626" s="21"/>
      <c r="CM626" s="21"/>
      <c r="CN626" s="21"/>
      <c r="CO626" s="21"/>
      <c r="CP626" s="21"/>
      <c r="CQ626" s="21"/>
      <c r="CR626" s="21"/>
      <c r="CS626" s="21"/>
      <c r="CT626" s="21"/>
      <c r="CU626" s="21"/>
      <c r="CV626" s="21"/>
      <c r="CW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  <c r="CA627" s="21"/>
      <c r="CB627" s="21"/>
      <c r="CC627" s="21"/>
      <c r="CD627" s="21"/>
      <c r="CE627" s="21"/>
      <c r="CF627" s="21"/>
      <c r="CG627" s="21"/>
      <c r="CH627" s="21"/>
      <c r="CI627" s="21"/>
      <c r="CJ627" s="21"/>
      <c r="CK627" s="21"/>
      <c r="CL627" s="21"/>
      <c r="CM627" s="21"/>
      <c r="CN627" s="21"/>
      <c r="CO627" s="21"/>
      <c r="CP627" s="21"/>
      <c r="CQ627" s="21"/>
      <c r="CR627" s="21"/>
      <c r="CS627" s="21"/>
      <c r="CT627" s="21"/>
      <c r="CU627" s="21"/>
      <c r="CV627" s="21"/>
      <c r="CW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  <c r="CA628" s="21"/>
      <c r="CB628" s="21"/>
      <c r="CC628" s="21"/>
      <c r="CD628" s="21"/>
      <c r="CE628" s="21"/>
      <c r="CF628" s="21"/>
      <c r="CG628" s="21"/>
      <c r="CH628" s="21"/>
      <c r="CI628" s="21"/>
      <c r="CJ628" s="21"/>
      <c r="CK628" s="21"/>
      <c r="CL628" s="21"/>
      <c r="CM628" s="21"/>
      <c r="CN628" s="21"/>
      <c r="CO628" s="21"/>
      <c r="CP628" s="21"/>
      <c r="CQ628" s="21"/>
      <c r="CR628" s="21"/>
      <c r="CS628" s="21"/>
      <c r="CT628" s="21"/>
      <c r="CU628" s="21"/>
      <c r="CV628" s="21"/>
      <c r="CW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B629" s="21"/>
      <c r="CC629" s="21"/>
      <c r="CD629" s="21"/>
      <c r="CE629" s="21"/>
      <c r="CF629" s="21"/>
      <c r="CG629" s="21"/>
      <c r="CH629" s="21"/>
      <c r="CI629" s="21"/>
      <c r="CJ629" s="21"/>
      <c r="CK629" s="21"/>
      <c r="CL629" s="21"/>
      <c r="CM629" s="21"/>
      <c r="CN629" s="21"/>
      <c r="CO629" s="21"/>
      <c r="CP629" s="21"/>
      <c r="CQ629" s="21"/>
      <c r="CR629" s="21"/>
      <c r="CS629" s="21"/>
      <c r="CT629" s="21"/>
      <c r="CU629" s="21"/>
      <c r="CV629" s="21"/>
      <c r="CW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  <c r="CC630" s="21"/>
      <c r="CD630" s="21"/>
      <c r="CE630" s="21"/>
      <c r="CF630" s="21"/>
      <c r="CG630" s="21"/>
      <c r="CH630" s="21"/>
      <c r="CI630" s="21"/>
      <c r="CJ630" s="21"/>
      <c r="CK630" s="21"/>
      <c r="CL630" s="21"/>
      <c r="CM630" s="21"/>
      <c r="CN630" s="21"/>
      <c r="CO630" s="21"/>
      <c r="CP630" s="21"/>
      <c r="CQ630" s="21"/>
      <c r="CR630" s="21"/>
      <c r="CS630" s="21"/>
      <c r="CT630" s="21"/>
      <c r="CU630" s="21"/>
      <c r="CV630" s="21"/>
      <c r="CW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  <c r="CC631" s="21"/>
      <c r="CD631" s="21"/>
      <c r="CE631" s="21"/>
      <c r="CF631" s="21"/>
      <c r="CG631" s="21"/>
      <c r="CH631" s="21"/>
      <c r="CI631" s="21"/>
      <c r="CJ631" s="21"/>
      <c r="CK631" s="21"/>
      <c r="CL631" s="21"/>
      <c r="CM631" s="21"/>
      <c r="CN631" s="21"/>
      <c r="CO631" s="21"/>
      <c r="CP631" s="21"/>
      <c r="CQ631" s="21"/>
      <c r="CR631" s="21"/>
      <c r="CS631" s="21"/>
      <c r="CT631" s="21"/>
      <c r="CU631" s="21"/>
      <c r="CV631" s="21"/>
      <c r="CW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1"/>
      <c r="CE632" s="21"/>
      <c r="CF632" s="21"/>
      <c r="CG632" s="21"/>
      <c r="CH632" s="21"/>
      <c r="CI632" s="21"/>
      <c r="CJ632" s="21"/>
      <c r="CK632" s="21"/>
      <c r="CL632" s="21"/>
      <c r="CM632" s="21"/>
      <c r="CN632" s="21"/>
      <c r="CO632" s="21"/>
      <c r="CP632" s="21"/>
      <c r="CQ632" s="21"/>
      <c r="CR632" s="21"/>
      <c r="CS632" s="21"/>
      <c r="CT632" s="21"/>
      <c r="CU632" s="21"/>
      <c r="CV632" s="21"/>
      <c r="CW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1"/>
      <c r="CE633" s="21"/>
      <c r="CF633" s="21"/>
      <c r="CG633" s="21"/>
      <c r="CH633" s="21"/>
      <c r="CI633" s="21"/>
      <c r="CJ633" s="21"/>
      <c r="CK633" s="21"/>
      <c r="CL633" s="21"/>
      <c r="CM633" s="21"/>
      <c r="CN633" s="21"/>
      <c r="CO633" s="21"/>
      <c r="CP633" s="21"/>
      <c r="CQ633" s="21"/>
      <c r="CR633" s="21"/>
      <c r="CS633" s="21"/>
      <c r="CT633" s="21"/>
      <c r="CU633" s="21"/>
      <c r="CV633" s="21"/>
      <c r="CW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21"/>
      <c r="BT634" s="21"/>
      <c r="BU634" s="21"/>
      <c r="BV634" s="21"/>
      <c r="BW634" s="21"/>
      <c r="BX634" s="21"/>
      <c r="BY634" s="21"/>
      <c r="BZ634" s="21"/>
      <c r="CA634" s="21"/>
      <c r="CB634" s="21"/>
      <c r="CC634" s="21"/>
      <c r="CD634" s="21"/>
      <c r="CE634" s="21"/>
      <c r="CF634" s="21"/>
      <c r="CG634" s="21"/>
      <c r="CH634" s="21"/>
      <c r="CI634" s="21"/>
      <c r="CJ634" s="21"/>
      <c r="CK634" s="21"/>
      <c r="CL634" s="21"/>
      <c r="CM634" s="21"/>
      <c r="CN634" s="21"/>
      <c r="CO634" s="21"/>
      <c r="CP634" s="21"/>
      <c r="CQ634" s="21"/>
      <c r="CR634" s="21"/>
      <c r="CS634" s="21"/>
      <c r="CT634" s="21"/>
      <c r="CU634" s="21"/>
      <c r="CV634" s="21"/>
      <c r="CW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21"/>
      <c r="BT635" s="21"/>
      <c r="BU635" s="21"/>
      <c r="BV635" s="21"/>
      <c r="BW635" s="21"/>
      <c r="BX635" s="21"/>
      <c r="BY635" s="21"/>
      <c r="BZ635" s="21"/>
      <c r="CA635" s="21"/>
      <c r="CB635" s="21"/>
      <c r="CC635" s="21"/>
      <c r="CD635" s="21"/>
      <c r="CE635" s="21"/>
      <c r="CF635" s="21"/>
      <c r="CG635" s="21"/>
      <c r="CH635" s="21"/>
      <c r="CI635" s="21"/>
      <c r="CJ635" s="21"/>
      <c r="CK635" s="21"/>
      <c r="CL635" s="21"/>
      <c r="CM635" s="21"/>
      <c r="CN635" s="21"/>
      <c r="CO635" s="21"/>
      <c r="CP635" s="21"/>
      <c r="CQ635" s="21"/>
      <c r="CR635" s="21"/>
      <c r="CS635" s="21"/>
      <c r="CT635" s="21"/>
      <c r="CU635" s="21"/>
      <c r="CV635" s="21"/>
      <c r="CW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1"/>
      <c r="CE636" s="21"/>
      <c r="CF636" s="21"/>
      <c r="CG636" s="21"/>
      <c r="CH636" s="21"/>
      <c r="CI636" s="21"/>
      <c r="CJ636" s="21"/>
      <c r="CK636" s="21"/>
      <c r="CL636" s="21"/>
      <c r="CM636" s="21"/>
      <c r="CN636" s="21"/>
      <c r="CO636" s="21"/>
      <c r="CP636" s="21"/>
      <c r="CQ636" s="21"/>
      <c r="CR636" s="21"/>
      <c r="CS636" s="21"/>
      <c r="CT636" s="21"/>
      <c r="CU636" s="21"/>
      <c r="CV636" s="21"/>
      <c r="CW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1"/>
      <c r="CE637" s="21"/>
      <c r="CF637" s="21"/>
      <c r="CG637" s="21"/>
      <c r="CH637" s="21"/>
      <c r="CI637" s="21"/>
      <c r="CJ637" s="21"/>
      <c r="CK637" s="21"/>
      <c r="CL637" s="21"/>
      <c r="CM637" s="21"/>
      <c r="CN637" s="21"/>
      <c r="CO637" s="21"/>
      <c r="CP637" s="21"/>
      <c r="CQ637" s="21"/>
      <c r="CR637" s="21"/>
      <c r="CS637" s="21"/>
      <c r="CT637" s="21"/>
      <c r="CU637" s="21"/>
      <c r="CV637" s="21"/>
      <c r="CW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  <c r="CA638" s="21"/>
      <c r="CB638" s="21"/>
      <c r="CC638" s="21"/>
      <c r="CD638" s="21"/>
      <c r="CE638" s="21"/>
      <c r="CF638" s="21"/>
      <c r="CG638" s="21"/>
      <c r="CH638" s="21"/>
      <c r="CI638" s="21"/>
      <c r="CJ638" s="21"/>
      <c r="CK638" s="21"/>
      <c r="CL638" s="21"/>
      <c r="CM638" s="21"/>
      <c r="CN638" s="21"/>
      <c r="CO638" s="21"/>
      <c r="CP638" s="21"/>
      <c r="CQ638" s="21"/>
      <c r="CR638" s="21"/>
      <c r="CS638" s="21"/>
      <c r="CT638" s="21"/>
      <c r="CU638" s="21"/>
      <c r="CV638" s="21"/>
      <c r="CW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21"/>
      <c r="BT639" s="21"/>
      <c r="BU639" s="21"/>
      <c r="BV639" s="21"/>
      <c r="BW639" s="21"/>
      <c r="BX639" s="21"/>
      <c r="BY639" s="21"/>
      <c r="BZ639" s="21"/>
      <c r="CA639" s="21"/>
      <c r="CB639" s="21"/>
      <c r="CC639" s="21"/>
      <c r="CD639" s="21"/>
      <c r="CE639" s="21"/>
      <c r="CF639" s="21"/>
      <c r="CG639" s="21"/>
      <c r="CH639" s="21"/>
      <c r="CI639" s="21"/>
      <c r="CJ639" s="21"/>
      <c r="CK639" s="21"/>
      <c r="CL639" s="21"/>
      <c r="CM639" s="21"/>
      <c r="CN639" s="21"/>
      <c r="CO639" s="21"/>
      <c r="CP639" s="21"/>
      <c r="CQ639" s="21"/>
      <c r="CR639" s="21"/>
      <c r="CS639" s="21"/>
      <c r="CT639" s="21"/>
      <c r="CU639" s="21"/>
      <c r="CV639" s="21"/>
      <c r="CW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21"/>
      <c r="BT640" s="21"/>
      <c r="BU640" s="21"/>
      <c r="BV640" s="21"/>
      <c r="BW640" s="21"/>
      <c r="BX640" s="21"/>
      <c r="BY640" s="21"/>
      <c r="BZ640" s="21"/>
      <c r="CA640" s="21"/>
      <c r="CB640" s="21"/>
      <c r="CC640" s="21"/>
      <c r="CD640" s="21"/>
      <c r="CE640" s="21"/>
      <c r="CF640" s="21"/>
      <c r="CG640" s="21"/>
      <c r="CH640" s="21"/>
      <c r="CI640" s="21"/>
      <c r="CJ640" s="21"/>
      <c r="CK640" s="21"/>
      <c r="CL640" s="21"/>
      <c r="CM640" s="21"/>
      <c r="CN640" s="21"/>
      <c r="CO640" s="21"/>
      <c r="CP640" s="21"/>
      <c r="CQ640" s="21"/>
      <c r="CR640" s="21"/>
      <c r="CS640" s="21"/>
      <c r="CT640" s="21"/>
      <c r="CU640" s="21"/>
      <c r="CV640" s="21"/>
      <c r="CW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21"/>
      <c r="BT641" s="21"/>
      <c r="BU641" s="21"/>
      <c r="BV641" s="21"/>
      <c r="BW641" s="21"/>
      <c r="BX641" s="21"/>
      <c r="BY641" s="21"/>
      <c r="BZ641" s="21"/>
      <c r="CA641" s="21"/>
      <c r="CB641" s="21"/>
      <c r="CC641" s="21"/>
      <c r="CD641" s="21"/>
      <c r="CE641" s="21"/>
      <c r="CF641" s="21"/>
      <c r="CG641" s="21"/>
      <c r="CH641" s="21"/>
      <c r="CI641" s="21"/>
      <c r="CJ641" s="21"/>
      <c r="CK641" s="21"/>
      <c r="CL641" s="21"/>
      <c r="CM641" s="21"/>
      <c r="CN641" s="21"/>
      <c r="CO641" s="21"/>
      <c r="CP641" s="21"/>
      <c r="CQ641" s="21"/>
      <c r="CR641" s="21"/>
      <c r="CS641" s="21"/>
      <c r="CT641" s="21"/>
      <c r="CU641" s="21"/>
      <c r="CV641" s="21"/>
      <c r="CW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  <c r="CA642" s="21"/>
      <c r="CB642" s="21"/>
      <c r="CC642" s="21"/>
      <c r="CD642" s="21"/>
      <c r="CE642" s="21"/>
      <c r="CF642" s="21"/>
      <c r="CG642" s="21"/>
      <c r="CH642" s="21"/>
      <c r="CI642" s="21"/>
      <c r="CJ642" s="21"/>
      <c r="CK642" s="21"/>
      <c r="CL642" s="21"/>
      <c r="CM642" s="21"/>
      <c r="CN642" s="21"/>
      <c r="CO642" s="21"/>
      <c r="CP642" s="21"/>
      <c r="CQ642" s="21"/>
      <c r="CR642" s="21"/>
      <c r="CS642" s="21"/>
      <c r="CT642" s="21"/>
      <c r="CU642" s="21"/>
      <c r="CV642" s="21"/>
      <c r="CW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21"/>
      <c r="BT643" s="21"/>
      <c r="BU643" s="21"/>
      <c r="BV643" s="21"/>
      <c r="BW643" s="21"/>
      <c r="BX643" s="21"/>
      <c r="BY643" s="21"/>
      <c r="BZ643" s="21"/>
      <c r="CA643" s="21"/>
      <c r="CB643" s="21"/>
      <c r="CC643" s="21"/>
      <c r="CD643" s="21"/>
      <c r="CE643" s="21"/>
      <c r="CF643" s="21"/>
      <c r="CG643" s="21"/>
      <c r="CH643" s="21"/>
      <c r="CI643" s="21"/>
      <c r="CJ643" s="21"/>
      <c r="CK643" s="21"/>
      <c r="CL643" s="21"/>
      <c r="CM643" s="21"/>
      <c r="CN643" s="21"/>
      <c r="CO643" s="21"/>
      <c r="CP643" s="21"/>
      <c r="CQ643" s="21"/>
      <c r="CR643" s="21"/>
      <c r="CS643" s="21"/>
      <c r="CT643" s="21"/>
      <c r="CU643" s="21"/>
      <c r="CV643" s="21"/>
      <c r="CW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BX644" s="21"/>
      <c r="BY644" s="21"/>
      <c r="BZ644" s="21"/>
      <c r="CA644" s="21"/>
      <c r="CB644" s="21"/>
      <c r="CC644" s="21"/>
      <c r="CD644" s="21"/>
      <c r="CE644" s="21"/>
      <c r="CF644" s="21"/>
      <c r="CG644" s="21"/>
      <c r="CH644" s="21"/>
      <c r="CI644" s="21"/>
      <c r="CJ644" s="21"/>
      <c r="CK644" s="21"/>
      <c r="CL644" s="21"/>
      <c r="CM644" s="21"/>
      <c r="CN644" s="21"/>
      <c r="CO644" s="21"/>
      <c r="CP644" s="21"/>
      <c r="CQ644" s="21"/>
      <c r="CR644" s="21"/>
      <c r="CS644" s="21"/>
      <c r="CT644" s="21"/>
      <c r="CU644" s="21"/>
      <c r="CV644" s="21"/>
      <c r="CW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  <c r="CA645" s="21"/>
      <c r="CB645" s="21"/>
      <c r="CC645" s="21"/>
      <c r="CD645" s="21"/>
      <c r="CE645" s="21"/>
      <c r="CF645" s="21"/>
      <c r="CG645" s="21"/>
      <c r="CH645" s="21"/>
      <c r="CI645" s="21"/>
      <c r="CJ645" s="21"/>
      <c r="CK645" s="21"/>
      <c r="CL645" s="21"/>
      <c r="CM645" s="21"/>
      <c r="CN645" s="21"/>
      <c r="CO645" s="21"/>
      <c r="CP645" s="21"/>
      <c r="CQ645" s="21"/>
      <c r="CR645" s="21"/>
      <c r="CS645" s="21"/>
      <c r="CT645" s="21"/>
      <c r="CU645" s="21"/>
      <c r="CV645" s="21"/>
      <c r="CW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  <c r="CA646" s="21"/>
      <c r="CB646" s="21"/>
      <c r="CC646" s="21"/>
      <c r="CD646" s="21"/>
      <c r="CE646" s="21"/>
      <c r="CF646" s="21"/>
      <c r="CG646" s="21"/>
      <c r="CH646" s="21"/>
      <c r="CI646" s="21"/>
      <c r="CJ646" s="21"/>
      <c r="CK646" s="21"/>
      <c r="CL646" s="21"/>
      <c r="CM646" s="21"/>
      <c r="CN646" s="21"/>
      <c r="CO646" s="21"/>
      <c r="CP646" s="21"/>
      <c r="CQ646" s="21"/>
      <c r="CR646" s="21"/>
      <c r="CS646" s="21"/>
      <c r="CT646" s="21"/>
      <c r="CU646" s="21"/>
      <c r="CV646" s="21"/>
      <c r="CW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BW647" s="21"/>
      <c r="BX647" s="21"/>
      <c r="BY647" s="21"/>
      <c r="BZ647" s="21"/>
      <c r="CA647" s="21"/>
      <c r="CB647" s="21"/>
      <c r="CC647" s="21"/>
      <c r="CD647" s="21"/>
      <c r="CE647" s="21"/>
      <c r="CF647" s="21"/>
      <c r="CG647" s="21"/>
      <c r="CH647" s="21"/>
      <c r="CI647" s="21"/>
      <c r="CJ647" s="21"/>
      <c r="CK647" s="21"/>
      <c r="CL647" s="21"/>
      <c r="CM647" s="21"/>
      <c r="CN647" s="21"/>
      <c r="CO647" s="21"/>
      <c r="CP647" s="21"/>
      <c r="CQ647" s="21"/>
      <c r="CR647" s="21"/>
      <c r="CS647" s="21"/>
      <c r="CT647" s="21"/>
      <c r="CU647" s="21"/>
      <c r="CV647" s="21"/>
      <c r="CW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/>
      <c r="CA648" s="21"/>
      <c r="CB648" s="21"/>
      <c r="CC648" s="21"/>
      <c r="CD648" s="21"/>
      <c r="CE648" s="21"/>
      <c r="CF648" s="21"/>
      <c r="CG648" s="21"/>
      <c r="CH648" s="21"/>
      <c r="CI648" s="21"/>
      <c r="CJ648" s="21"/>
      <c r="CK648" s="21"/>
      <c r="CL648" s="21"/>
      <c r="CM648" s="21"/>
      <c r="CN648" s="21"/>
      <c r="CO648" s="21"/>
      <c r="CP648" s="21"/>
      <c r="CQ648" s="21"/>
      <c r="CR648" s="21"/>
      <c r="CS648" s="21"/>
      <c r="CT648" s="21"/>
      <c r="CU648" s="21"/>
      <c r="CV648" s="21"/>
      <c r="CW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21"/>
      <c r="BT649" s="21"/>
      <c r="BU649" s="21"/>
      <c r="BV649" s="21"/>
      <c r="BW649" s="21"/>
      <c r="BX649" s="21"/>
      <c r="BY649" s="21"/>
      <c r="BZ649" s="21"/>
      <c r="CA649" s="21"/>
      <c r="CB649" s="21"/>
      <c r="CC649" s="21"/>
      <c r="CD649" s="21"/>
      <c r="CE649" s="21"/>
      <c r="CF649" s="21"/>
      <c r="CG649" s="21"/>
      <c r="CH649" s="21"/>
      <c r="CI649" s="21"/>
      <c r="CJ649" s="21"/>
      <c r="CK649" s="21"/>
      <c r="CL649" s="21"/>
      <c r="CM649" s="21"/>
      <c r="CN649" s="21"/>
      <c r="CO649" s="21"/>
      <c r="CP649" s="21"/>
      <c r="CQ649" s="21"/>
      <c r="CR649" s="21"/>
      <c r="CS649" s="21"/>
      <c r="CT649" s="21"/>
      <c r="CU649" s="21"/>
      <c r="CV649" s="21"/>
      <c r="CW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  <c r="CA650" s="21"/>
      <c r="CB650" s="21"/>
      <c r="CC650" s="21"/>
      <c r="CD650" s="21"/>
      <c r="CE650" s="21"/>
      <c r="CF650" s="21"/>
      <c r="CG650" s="21"/>
      <c r="CH650" s="21"/>
      <c r="CI650" s="21"/>
      <c r="CJ650" s="21"/>
      <c r="CK650" s="21"/>
      <c r="CL650" s="21"/>
      <c r="CM650" s="21"/>
      <c r="CN650" s="21"/>
      <c r="CO650" s="21"/>
      <c r="CP650" s="21"/>
      <c r="CQ650" s="21"/>
      <c r="CR650" s="21"/>
      <c r="CS650" s="21"/>
      <c r="CT650" s="21"/>
      <c r="CU650" s="21"/>
      <c r="CV650" s="21"/>
      <c r="CW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21"/>
      <c r="BT651" s="21"/>
      <c r="BU651" s="21"/>
      <c r="BV651" s="21"/>
      <c r="BW651" s="21"/>
      <c r="BX651" s="21"/>
      <c r="BY651" s="21"/>
      <c r="BZ651" s="21"/>
      <c r="CA651" s="21"/>
      <c r="CB651" s="21"/>
      <c r="CC651" s="21"/>
      <c r="CD651" s="21"/>
      <c r="CE651" s="21"/>
      <c r="CF651" s="21"/>
      <c r="CG651" s="21"/>
      <c r="CH651" s="21"/>
      <c r="CI651" s="21"/>
      <c r="CJ651" s="21"/>
      <c r="CK651" s="21"/>
      <c r="CL651" s="21"/>
      <c r="CM651" s="21"/>
      <c r="CN651" s="21"/>
      <c r="CO651" s="21"/>
      <c r="CP651" s="21"/>
      <c r="CQ651" s="21"/>
      <c r="CR651" s="21"/>
      <c r="CS651" s="21"/>
      <c r="CT651" s="21"/>
      <c r="CU651" s="21"/>
      <c r="CV651" s="21"/>
      <c r="CW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21"/>
      <c r="BT652" s="21"/>
      <c r="BU652" s="21"/>
      <c r="BV652" s="21"/>
      <c r="BW652" s="21"/>
      <c r="BX652" s="21"/>
      <c r="BY652" s="21"/>
      <c r="BZ652" s="21"/>
      <c r="CA652" s="21"/>
      <c r="CB652" s="21"/>
      <c r="CC652" s="21"/>
      <c r="CD652" s="21"/>
      <c r="CE652" s="21"/>
      <c r="CF652" s="21"/>
      <c r="CG652" s="21"/>
      <c r="CH652" s="21"/>
      <c r="CI652" s="21"/>
      <c r="CJ652" s="21"/>
      <c r="CK652" s="21"/>
      <c r="CL652" s="21"/>
      <c r="CM652" s="21"/>
      <c r="CN652" s="21"/>
      <c r="CO652" s="21"/>
      <c r="CP652" s="21"/>
      <c r="CQ652" s="21"/>
      <c r="CR652" s="21"/>
      <c r="CS652" s="21"/>
      <c r="CT652" s="21"/>
      <c r="CU652" s="21"/>
      <c r="CV652" s="21"/>
      <c r="CW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21"/>
      <c r="BT653" s="21"/>
      <c r="BU653" s="21"/>
      <c r="BV653" s="21"/>
      <c r="BW653" s="21"/>
      <c r="BX653" s="21"/>
      <c r="BY653" s="21"/>
      <c r="BZ653" s="21"/>
      <c r="CA653" s="21"/>
      <c r="CB653" s="21"/>
      <c r="CC653" s="21"/>
      <c r="CD653" s="21"/>
      <c r="CE653" s="21"/>
      <c r="CF653" s="21"/>
      <c r="CG653" s="21"/>
      <c r="CH653" s="21"/>
      <c r="CI653" s="21"/>
      <c r="CJ653" s="21"/>
      <c r="CK653" s="21"/>
      <c r="CL653" s="21"/>
      <c r="CM653" s="21"/>
      <c r="CN653" s="21"/>
      <c r="CO653" s="21"/>
      <c r="CP653" s="21"/>
      <c r="CQ653" s="21"/>
      <c r="CR653" s="21"/>
      <c r="CS653" s="21"/>
      <c r="CT653" s="21"/>
      <c r="CU653" s="21"/>
      <c r="CV653" s="21"/>
      <c r="CW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21"/>
      <c r="BT654" s="21"/>
      <c r="BU654" s="21"/>
      <c r="BV654" s="21"/>
      <c r="BW654" s="21"/>
      <c r="BX654" s="21"/>
      <c r="BY654" s="21"/>
      <c r="BZ654" s="21"/>
      <c r="CA654" s="21"/>
      <c r="CB654" s="21"/>
      <c r="CC654" s="21"/>
      <c r="CD654" s="21"/>
      <c r="CE654" s="21"/>
      <c r="CF654" s="21"/>
      <c r="CG654" s="21"/>
      <c r="CH654" s="21"/>
      <c r="CI654" s="21"/>
      <c r="CJ654" s="21"/>
      <c r="CK654" s="21"/>
      <c r="CL654" s="21"/>
      <c r="CM654" s="21"/>
      <c r="CN654" s="21"/>
      <c r="CO654" s="21"/>
      <c r="CP654" s="21"/>
      <c r="CQ654" s="21"/>
      <c r="CR654" s="21"/>
      <c r="CS654" s="21"/>
      <c r="CT654" s="21"/>
      <c r="CU654" s="21"/>
      <c r="CV654" s="21"/>
      <c r="CW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21"/>
      <c r="BT655" s="21"/>
      <c r="BU655" s="21"/>
      <c r="BV655" s="21"/>
      <c r="BW655" s="21"/>
      <c r="BX655" s="21"/>
      <c r="BY655" s="21"/>
      <c r="BZ655" s="21"/>
      <c r="CA655" s="21"/>
      <c r="CB655" s="21"/>
      <c r="CC655" s="21"/>
      <c r="CD655" s="21"/>
      <c r="CE655" s="21"/>
      <c r="CF655" s="21"/>
      <c r="CG655" s="21"/>
      <c r="CH655" s="21"/>
      <c r="CI655" s="21"/>
      <c r="CJ655" s="21"/>
      <c r="CK655" s="21"/>
      <c r="CL655" s="21"/>
      <c r="CM655" s="21"/>
      <c r="CN655" s="21"/>
      <c r="CO655" s="21"/>
      <c r="CP655" s="21"/>
      <c r="CQ655" s="21"/>
      <c r="CR655" s="21"/>
      <c r="CS655" s="21"/>
      <c r="CT655" s="21"/>
      <c r="CU655" s="21"/>
      <c r="CV655" s="21"/>
      <c r="CW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21"/>
      <c r="BT656" s="21"/>
      <c r="BU656" s="21"/>
      <c r="BV656" s="21"/>
      <c r="BW656" s="21"/>
      <c r="BX656" s="21"/>
      <c r="BY656" s="21"/>
      <c r="BZ656" s="21"/>
      <c r="CA656" s="21"/>
      <c r="CB656" s="21"/>
      <c r="CC656" s="21"/>
      <c r="CD656" s="21"/>
      <c r="CE656" s="21"/>
      <c r="CF656" s="21"/>
      <c r="CG656" s="21"/>
      <c r="CH656" s="21"/>
      <c r="CI656" s="21"/>
      <c r="CJ656" s="21"/>
      <c r="CK656" s="21"/>
      <c r="CL656" s="21"/>
      <c r="CM656" s="21"/>
      <c r="CN656" s="21"/>
      <c r="CO656" s="21"/>
      <c r="CP656" s="21"/>
      <c r="CQ656" s="21"/>
      <c r="CR656" s="21"/>
      <c r="CS656" s="21"/>
      <c r="CT656" s="21"/>
      <c r="CU656" s="21"/>
      <c r="CV656" s="21"/>
      <c r="CW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21"/>
      <c r="BT657" s="21"/>
      <c r="BU657" s="21"/>
      <c r="BV657" s="21"/>
      <c r="BW657" s="21"/>
      <c r="BX657" s="21"/>
      <c r="BY657" s="21"/>
      <c r="BZ657" s="21"/>
      <c r="CA657" s="21"/>
      <c r="CB657" s="21"/>
      <c r="CC657" s="21"/>
      <c r="CD657" s="21"/>
      <c r="CE657" s="21"/>
      <c r="CF657" s="21"/>
      <c r="CG657" s="21"/>
      <c r="CH657" s="21"/>
      <c r="CI657" s="21"/>
      <c r="CJ657" s="21"/>
      <c r="CK657" s="21"/>
      <c r="CL657" s="21"/>
      <c r="CM657" s="21"/>
      <c r="CN657" s="21"/>
      <c r="CO657" s="21"/>
      <c r="CP657" s="21"/>
      <c r="CQ657" s="21"/>
      <c r="CR657" s="21"/>
      <c r="CS657" s="21"/>
      <c r="CT657" s="21"/>
      <c r="CU657" s="21"/>
      <c r="CV657" s="21"/>
      <c r="CW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21"/>
      <c r="BT658" s="21"/>
      <c r="BU658" s="21"/>
      <c r="BV658" s="21"/>
      <c r="BW658" s="21"/>
      <c r="BX658" s="21"/>
      <c r="BY658" s="21"/>
      <c r="BZ658" s="21"/>
      <c r="CA658" s="21"/>
      <c r="CB658" s="21"/>
      <c r="CC658" s="21"/>
      <c r="CD658" s="21"/>
      <c r="CE658" s="21"/>
      <c r="CF658" s="21"/>
      <c r="CG658" s="21"/>
      <c r="CH658" s="21"/>
      <c r="CI658" s="21"/>
      <c r="CJ658" s="21"/>
      <c r="CK658" s="21"/>
      <c r="CL658" s="21"/>
      <c r="CM658" s="21"/>
      <c r="CN658" s="21"/>
      <c r="CO658" s="21"/>
      <c r="CP658" s="21"/>
      <c r="CQ658" s="21"/>
      <c r="CR658" s="21"/>
      <c r="CS658" s="21"/>
      <c r="CT658" s="21"/>
      <c r="CU658" s="21"/>
      <c r="CV658" s="21"/>
      <c r="CW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21"/>
      <c r="BT659" s="21"/>
      <c r="BU659" s="21"/>
      <c r="BV659" s="21"/>
      <c r="BW659" s="21"/>
      <c r="BX659" s="21"/>
      <c r="BY659" s="21"/>
      <c r="BZ659" s="21"/>
      <c r="CA659" s="21"/>
      <c r="CB659" s="21"/>
      <c r="CC659" s="21"/>
      <c r="CD659" s="21"/>
      <c r="CE659" s="21"/>
      <c r="CF659" s="21"/>
      <c r="CG659" s="21"/>
      <c r="CH659" s="21"/>
      <c r="CI659" s="21"/>
      <c r="CJ659" s="21"/>
      <c r="CK659" s="21"/>
      <c r="CL659" s="21"/>
      <c r="CM659" s="21"/>
      <c r="CN659" s="21"/>
      <c r="CO659" s="21"/>
      <c r="CP659" s="21"/>
      <c r="CQ659" s="21"/>
      <c r="CR659" s="21"/>
      <c r="CS659" s="21"/>
      <c r="CT659" s="21"/>
      <c r="CU659" s="21"/>
      <c r="CV659" s="21"/>
      <c r="CW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21"/>
      <c r="BT660" s="21"/>
      <c r="BU660" s="21"/>
      <c r="BV660" s="21"/>
      <c r="BW660" s="21"/>
      <c r="BX660" s="21"/>
      <c r="BY660" s="21"/>
      <c r="BZ660" s="21"/>
      <c r="CA660" s="21"/>
      <c r="CB660" s="21"/>
      <c r="CC660" s="21"/>
      <c r="CD660" s="21"/>
      <c r="CE660" s="21"/>
      <c r="CF660" s="21"/>
      <c r="CG660" s="21"/>
      <c r="CH660" s="21"/>
      <c r="CI660" s="21"/>
      <c r="CJ660" s="21"/>
      <c r="CK660" s="21"/>
      <c r="CL660" s="21"/>
      <c r="CM660" s="21"/>
      <c r="CN660" s="21"/>
      <c r="CO660" s="21"/>
      <c r="CP660" s="21"/>
      <c r="CQ660" s="21"/>
      <c r="CR660" s="21"/>
      <c r="CS660" s="21"/>
      <c r="CT660" s="21"/>
      <c r="CU660" s="21"/>
      <c r="CV660" s="21"/>
      <c r="CW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21"/>
      <c r="BT661" s="21"/>
      <c r="BU661" s="21"/>
      <c r="BV661" s="21"/>
      <c r="BW661" s="21"/>
      <c r="BX661" s="21"/>
      <c r="BY661" s="21"/>
      <c r="BZ661" s="21"/>
      <c r="CA661" s="21"/>
      <c r="CB661" s="21"/>
      <c r="CC661" s="21"/>
      <c r="CD661" s="21"/>
      <c r="CE661" s="21"/>
      <c r="CF661" s="21"/>
      <c r="CG661" s="21"/>
      <c r="CH661" s="21"/>
      <c r="CI661" s="21"/>
      <c r="CJ661" s="21"/>
      <c r="CK661" s="21"/>
      <c r="CL661" s="21"/>
      <c r="CM661" s="21"/>
      <c r="CN661" s="21"/>
      <c r="CO661" s="21"/>
      <c r="CP661" s="21"/>
      <c r="CQ661" s="21"/>
      <c r="CR661" s="21"/>
      <c r="CS661" s="21"/>
      <c r="CT661" s="21"/>
      <c r="CU661" s="21"/>
      <c r="CV661" s="21"/>
      <c r="CW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21"/>
      <c r="BT662" s="21"/>
      <c r="BU662" s="21"/>
      <c r="BV662" s="21"/>
      <c r="BW662" s="21"/>
      <c r="BX662" s="21"/>
      <c r="BY662" s="21"/>
      <c r="BZ662" s="21"/>
      <c r="CA662" s="21"/>
      <c r="CB662" s="21"/>
      <c r="CC662" s="21"/>
      <c r="CD662" s="21"/>
      <c r="CE662" s="21"/>
      <c r="CF662" s="21"/>
      <c r="CG662" s="21"/>
      <c r="CH662" s="21"/>
      <c r="CI662" s="21"/>
      <c r="CJ662" s="21"/>
      <c r="CK662" s="21"/>
      <c r="CL662" s="21"/>
      <c r="CM662" s="21"/>
      <c r="CN662" s="21"/>
      <c r="CO662" s="21"/>
      <c r="CP662" s="21"/>
      <c r="CQ662" s="21"/>
      <c r="CR662" s="21"/>
      <c r="CS662" s="21"/>
      <c r="CT662" s="21"/>
      <c r="CU662" s="21"/>
      <c r="CV662" s="21"/>
      <c r="CW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21"/>
      <c r="BT663" s="21"/>
      <c r="BU663" s="21"/>
      <c r="BV663" s="21"/>
      <c r="BW663" s="21"/>
      <c r="BX663" s="21"/>
      <c r="BY663" s="21"/>
      <c r="BZ663" s="21"/>
      <c r="CA663" s="21"/>
      <c r="CB663" s="21"/>
      <c r="CC663" s="21"/>
      <c r="CD663" s="21"/>
      <c r="CE663" s="21"/>
      <c r="CF663" s="21"/>
      <c r="CG663" s="21"/>
      <c r="CH663" s="21"/>
      <c r="CI663" s="21"/>
      <c r="CJ663" s="21"/>
      <c r="CK663" s="21"/>
      <c r="CL663" s="21"/>
      <c r="CM663" s="21"/>
      <c r="CN663" s="21"/>
      <c r="CO663" s="21"/>
      <c r="CP663" s="21"/>
      <c r="CQ663" s="21"/>
      <c r="CR663" s="21"/>
      <c r="CS663" s="21"/>
      <c r="CT663" s="21"/>
      <c r="CU663" s="21"/>
      <c r="CV663" s="21"/>
      <c r="CW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21"/>
      <c r="BT664" s="21"/>
      <c r="BU664" s="21"/>
      <c r="BV664" s="21"/>
      <c r="BW664" s="21"/>
      <c r="BX664" s="21"/>
      <c r="BY664" s="21"/>
      <c r="BZ664" s="21"/>
      <c r="CA664" s="21"/>
      <c r="CB664" s="21"/>
      <c r="CC664" s="21"/>
      <c r="CD664" s="21"/>
      <c r="CE664" s="21"/>
      <c r="CF664" s="21"/>
      <c r="CG664" s="21"/>
      <c r="CH664" s="21"/>
      <c r="CI664" s="21"/>
      <c r="CJ664" s="21"/>
      <c r="CK664" s="21"/>
      <c r="CL664" s="21"/>
      <c r="CM664" s="21"/>
      <c r="CN664" s="21"/>
      <c r="CO664" s="21"/>
      <c r="CP664" s="21"/>
      <c r="CQ664" s="21"/>
      <c r="CR664" s="21"/>
      <c r="CS664" s="21"/>
      <c r="CT664" s="21"/>
      <c r="CU664" s="21"/>
      <c r="CV664" s="21"/>
      <c r="CW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21"/>
      <c r="BT665" s="21"/>
      <c r="BU665" s="21"/>
      <c r="BV665" s="21"/>
      <c r="BW665" s="21"/>
      <c r="BX665" s="21"/>
      <c r="BY665" s="21"/>
      <c r="BZ665" s="21"/>
      <c r="CA665" s="21"/>
      <c r="CB665" s="21"/>
      <c r="CC665" s="21"/>
      <c r="CD665" s="21"/>
      <c r="CE665" s="21"/>
      <c r="CF665" s="21"/>
      <c r="CG665" s="21"/>
      <c r="CH665" s="21"/>
      <c r="CI665" s="21"/>
      <c r="CJ665" s="21"/>
      <c r="CK665" s="21"/>
      <c r="CL665" s="21"/>
      <c r="CM665" s="21"/>
      <c r="CN665" s="21"/>
      <c r="CO665" s="21"/>
      <c r="CP665" s="21"/>
      <c r="CQ665" s="21"/>
      <c r="CR665" s="21"/>
      <c r="CS665" s="21"/>
      <c r="CT665" s="21"/>
      <c r="CU665" s="21"/>
      <c r="CV665" s="21"/>
      <c r="CW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21"/>
      <c r="BT666" s="21"/>
      <c r="BU666" s="21"/>
      <c r="BV666" s="21"/>
      <c r="BW666" s="21"/>
      <c r="BX666" s="21"/>
      <c r="BY666" s="21"/>
      <c r="BZ666" s="21"/>
      <c r="CA666" s="21"/>
      <c r="CB666" s="21"/>
      <c r="CC666" s="21"/>
      <c r="CD666" s="21"/>
      <c r="CE666" s="21"/>
      <c r="CF666" s="21"/>
      <c r="CG666" s="21"/>
      <c r="CH666" s="21"/>
      <c r="CI666" s="21"/>
      <c r="CJ666" s="21"/>
      <c r="CK666" s="21"/>
      <c r="CL666" s="21"/>
      <c r="CM666" s="21"/>
      <c r="CN666" s="21"/>
      <c r="CO666" s="21"/>
      <c r="CP666" s="21"/>
      <c r="CQ666" s="21"/>
      <c r="CR666" s="21"/>
      <c r="CS666" s="21"/>
      <c r="CT666" s="21"/>
      <c r="CU666" s="21"/>
      <c r="CV666" s="21"/>
      <c r="CW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21"/>
      <c r="BT667" s="21"/>
      <c r="BU667" s="21"/>
      <c r="BV667" s="21"/>
      <c r="BW667" s="21"/>
      <c r="BX667" s="21"/>
      <c r="BY667" s="21"/>
      <c r="BZ667" s="21"/>
      <c r="CA667" s="21"/>
      <c r="CB667" s="21"/>
      <c r="CC667" s="21"/>
      <c r="CD667" s="21"/>
      <c r="CE667" s="21"/>
      <c r="CF667" s="21"/>
      <c r="CG667" s="21"/>
      <c r="CH667" s="21"/>
      <c r="CI667" s="21"/>
      <c r="CJ667" s="21"/>
      <c r="CK667" s="21"/>
      <c r="CL667" s="21"/>
      <c r="CM667" s="21"/>
      <c r="CN667" s="21"/>
      <c r="CO667" s="21"/>
      <c r="CP667" s="21"/>
      <c r="CQ667" s="21"/>
      <c r="CR667" s="21"/>
      <c r="CS667" s="21"/>
      <c r="CT667" s="21"/>
      <c r="CU667" s="21"/>
      <c r="CV667" s="21"/>
      <c r="CW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21"/>
      <c r="BT668" s="21"/>
      <c r="BU668" s="21"/>
      <c r="BV668" s="21"/>
      <c r="BW668" s="21"/>
      <c r="BX668" s="21"/>
      <c r="BY668" s="21"/>
      <c r="BZ668" s="21"/>
      <c r="CA668" s="21"/>
      <c r="CB668" s="21"/>
      <c r="CC668" s="21"/>
      <c r="CD668" s="21"/>
      <c r="CE668" s="21"/>
      <c r="CF668" s="21"/>
      <c r="CG668" s="21"/>
      <c r="CH668" s="21"/>
      <c r="CI668" s="21"/>
      <c r="CJ668" s="21"/>
      <c r="CK668" s="21"/>
      <c r="CL668" s="21"/>
      <c r="CM668" s="21"/>
      <c r="CN668" s="21"/>
      <c r="CO668" s="21"/>
      <c r="CP668" s="21"/>
      <c r="CQ668" s="21"/>
      <c r="CR668" s="21"/>
      <c r="CS668" s="21"/>
      <c r="CT668" s="21"/>
      <c r="CU668" s="21"/>
      <c r="CV668" s="21"/>
      <c r="CW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21"/>
      <c r="BT669" s="21"/>
      <c r="BU669" s="21"/>
      <c r="BV669" s="21"/>
      <c r="BW669" s="21"/>
      <c r="BX669" s="21"/>
      <c r="BY669" s="21"/>
      <c r="BZ669" s="21"/>
      <c r="CA669" s="21"/>
      <c r="CB669" s="21"/>
      <c r="CC669" s="21"/>
      <c r="CD669" s="21"/>
      <c r="CE669" s="21"/>
      <c r="CF669" s="21"/>
      <c r="CG669" s="21"/>
      <c r="CH669" s="21"/>
      <c r="CI669" s="21"/>
      <c r="CJ669" s="21"/>
      <c r="CK669" s="21"/>
      <c r="CL669" s="21"/>
      <c r="CM669" s="21"/>
      <c r="CN669" s="21"/>
      <c r="CO669" s="21"/>
      <c r="CP669" s="21"/>
      <c r="CQ669" s="21"/>
      <c r="CR669" s="21"/>
      <c r="CS669" s="21"/>
      <c r="CT669" s="21"/>
      <c r="CU669" s="21"/>
      <c r="CV669" s="21"/>
      <c r="CW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21"/>
      <c r="BT670" s="21"/>
      <c r="BU670" s="21"/>
      <c r="BV670" s="21"/>
      <c r="BW670" s="21"/>
      <c r="BX670" s="21"/>
      <c r="BY670" s="21"/>
      <c r="BZ670" s="21"/>
      <c r="CA670" s="21"/>
      <c r="CB670" s="21"/>
      <c r="CC670" s="21"/>
      <c r="CD670" s="21"/>
      <c r="CE670" s="21"/>
      <c r="CF670" s="21"/>
      <c r="CG670" s="21"/>
      <c r="CH670" s="21"/>
      <c r="CI670" s="21"/>
      <c r="CJ670" s="21"/>
      <c r="CK670" s="21"/>
      <c r="CL670" s="21"/>
      <c r="CM670" s="21"/>
      <c r="CN670" s="21"/>
      <c r="CO670" s="21"/>
      <c r="CP670" s="21"/>
      <c r="CQ670" s="21"/>
      <c r="CR670" s="21"/>
      <c r="CS670" s="21"/>
      <c r="CT670" s="21"/>
      <c r="CU670" s="21"/>
      <c r="CV670" s="21"/>
      <c r="CW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21"/>
      <c r="BT671" s="21"/>
      <c r="BU671" s="21"/>
      <c r="BV671" s="21"/>
      <c r="BW671" s="21"/>
      <c r="BX671" s="21"/>
      <c r="BY671" s="21"/>
      <c r="BZ671" s="21"/>
      <c r="CA671" s="21"/>
      <c r="CB671" s="21"/>
      <c r="CC671" s="21"/>
      <c r="CD671" s="21"/>
      <c r="CE671" s="21"/>
      <c r="CF671" s="21"/>
      <c r="CG671" s="21"/>
      <c r="CH671" s="21"/>
      <c r="CI671" s="21"/>
      <c r="CJ671" s="21"/>
      <c r="CK671" s="21"/>
      <c r="CL671" s="21"/>
      <c r="CM671" s="21"/>
      <c r="CN671" s="21"/>
      <c r="CO671" s="21"/>
      <c r="CP671" s="21"/>
      <c r="CQ671" s="21"/>
      <c r="CR671" s="21"/>
      <c r="CS671" s="21"/>
      <c r="CT671" s="21"/>
      <c r="CU671" s="21"/>
      <c r="CV671" s="21"/>
      <c r="CW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21"/>
      <c r="BT672" s="21"/>
      <c r="BU672" s="21"/>
      <c r="BV672" s="21"/>
      <c r="BW672" s="21"/>
      <c r="BX672" s="21"/>
      <c r="BY672" s="21"/>
      <c r="BZ672" s="21"/>
      <c r="CA672" s="21"/>
      <c r="CB672" s="21"/>
      <c r="CC672" s="21"/>
      <c r="CD672" s="21"/>
      <c r="CE672" s="21"/>
      <c r="CF672" s="21"/>
      <c r="CG672" s="21"/>
      <c r="CH672" s="21"/>
      <c r="CI672" s="21"/>
      <c r="CJ672" s="21"/>
      <c r="CK672" s="21"/>
      <c r="CL672" s="21"/>
      <c r="CM672" s="21"/>
      <c r="CN672" s="21"/>
      <c r="CO672" s="21"/>
      <c r="CP672" s="21"/>
      <c r="CQ672" s="21"/>
      <c r="CR672" s="21"/>
      <c r="CS672" s="21"/>
      <c r="CT672" s="21"/>
      <c r="CU672" s="21"/>
      <c r="CV672" s="21"/>
      <c r="CW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21"/>
      <c r="BT673" s="21"/>
      <c r="BU673" s="21"/>
      <c r="BV673" s="21"/>
      <c r="BW673" s="21"/>
      <c r="BX673" s="21"/>
      <c r="BY673" s="21"/>
      <c r="BZ673" s="21"/>
      <c r="CA673" s="21"/>
      <c r="CB673" s="21"/>
      <c r="CC673" s="21"/>
      <c r="CD673" s="21"/>
      <c r="CE673" s="21"/>
      <c r="CF673" s="21"/>
      <c r="CG673" s="21"/>
      <c r="CH673" s="21"/>
      <c r="CI673" s="21"/>
      <c r="CJ673" s="21"/>
      <c r="CK673" s="21"/>
      <c r="CL673" s="21"/>
      <c r="CM673" s="21"/>
      <c r="CN673" s="21"/>
      <c r="CO673" s="21"/>
      <c r="CP673" s="21"/>
      <c r="CQ673" s="21"/>
      <c r="CR673" s="21"/>
      <c r="CS673" s="21"/>
      <c r="CT673" s="21"/>
      <c r="CU673" s="21"/>
      <c r="CV673" s="21"/>
      <c r="CW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21"/>
      <c r="BT674" s="21"/>
      <c r="BU674" s="21"/>
      <c r="BV674" s="21"/>
      <c r="BW674" s="21"/>
      <c r="BX674" s="21"/>
      <c r="BY674" s="21"/>
      <c r="BZ674" s="21"/>
      <c r="CA674" s="21"/>
      <c r="CB674" s="21"/>
      <c r="CC674" s="21"/>
      <c r="CD674" s="21"/>
      <c r="CE674" s="21"/>
      <c r="CF674" s="21"/>
      <c r="CG674" s="21"/>
      <c r="CH674" s="21"/>
      <c r="CI674" s="21"/>
      <c r="CJ674" s="21"/>
      <c r="CK674" s="21"/>
      <c r="CL674" s="21"/>
      <c r="CM674" s="21"/>
      <c r="CN674" s="21"/>
      <c r="CO674" s="21"/>
      <c r="CP674" s="21"/>
      <c r="CQ674" s="21"/>
      <c r="CR674" s="21"/>
      <c r="CS674" s="21"/>
      <c r="CT674" s="21"/>
      <c r="CU674" s="21"/>
      <c r="CV674" s="21"/>
      <c r="CW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21"/>
      <c r="BT675" s="21"/>
      <c r="BU675" s="21"/>
      <c r="BV675" s="21"/>
      <c r="BW675" s="21"/>
      <c r="BX675" s="21"/>
      <c r="BY675" s="21"/>
      <c r="BZ675" s="21"/>
      <c r="CA675" s="21"/>
      <c r="CB675" s="21"/>
      <c r="CC675" s="21"/>
      <c r="CD675" s="21"/>
      <c r="CE675" s="21"/>
      <c r="CF675" s="21"/>
      <c r="CG675" s="21"/>
      <c r="CH675" s="21"/>
      <c r="CI675" s="21"/>
      <c r="CJ675" s="21"/>
      <c r="CK675" s="21"/>
      <c r="CL675" s="21"/>
      <c r="CM675" s="21"/>
      <c r="CN675" s="21"/>
      <c r="CO675" s="21"/>
      <c r="CP675" s="21"/>
      <c r="CQ675" s="21"/>
      <c r="CR675" s="21"/>
      <c r="CS675" s="21"/>
      <c r="CT675" s="21"/>
      <c r="CU675" s="21"/>
      <c r="CV675" s="21"/>
      <c r="CW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21"/>
      <c r="BT676" s="21"/>
      <c r="BU676" s="21"/>
      <c r="BV676" s="21"/>
      <c r="BW676" s="21"/>
      <c r="BX676" s="21"/>
      <c r="BY676" s="21"/>
      <c r="BZ676" s="21"/>
      <c r="CA676" s="21"/>
      <c r="CB676" s="21"/>
      <c r="CC676" s="21"/>
      <c r="CD676" s="21"/>
      <c r="CE676" s="21"/>
      <c r="CF676" s="21"/>
      <c r="CG676" s="21"/>
      <c r="CH676" s="21"/>
      <c r="CI676" s="21"/>
      <c r="CJ676" s="21"/>
      <c r="CK676" s="21"/>
      <c r="CL676" s="21"/>
      <c r="CM676" s="21"/>
      <c r="CN676" s="21"/>
      <c r="CO676" s="21"/>
      <c r="CP676" s="21"/>
      <c r="CQ676" s="21"/>
      <c r="CR676" s="21"/>
      <c r="CS676" s="21"/>
      <c r="CT676" s="21"/>
      <c r="CU676" s="21"/>
      <c r="CV676" s="21"/>
      <c r="CW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21"/>
      <c r="BT677" s="21"/>
      <c r="BU677" s="21"/>
      <c r="BV677" s="21"/>
      <c r="BW677" s="21"/>
      <c r="BX677" s="21"/>
      <c r="BY677" s="21"/>
      <c r="BZ677" s="21"/>
      <c r="CA677" s="21"/>
      <c r="CB677" s="21"/>
      <c r="CC677" s="21"/>
      <c r="CD677" s="21"/>
      <c r="CE677" s="21"/>
      <c r="CF677" s="21"/>
      <c r="CG677" s="21"/>
      <c r="CH677" s="21"/>
      <c r="CI677" s="21"/>
      <c r="CJ677" s="21"/>
      <c r="CK677" s="21"/>
      <c r="CL677" s="21"/>
      <c r="CM677" s="21"/>
      <c r="CN677" s="21"/>
      <c r="CO677" s="21"/>
      <c r="CP677" s="21"/>
      <c r="CQ677" s="21"/>
      <c r="CR677" s="21"/>
      <c r="CS677" s="21"/>
      <c r="CT677" s="21"/>
      <c r="CU677" s="21"/>
      <c r="CV677" s="21"/>
      <c r="CW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21"/>
      <c r="BT678" s="21"/>
      <c r="BU678" s="21"/>
      <c r="BV678" s="21"/>
      <c r="BW678" s="21"/>
      <c r="BX678" s="21"/>
      <c r="BY678" s="21"/>
      <c r="BZ678" s="21"/>
      <c r="CA678" s="21"/>
      <c r="CB678" s="21"/>
      <c r="CC678" s="21"/>
      <c r="CD678" s="21"/>
      <c r="CE678" s="21"/>
      <c r="CF678" s="21"/>
      <c r="CG678" s="21"/>
      <c r="CH678" s="21"/>
      <c r="CI678" s="21"/>
      <c r="CJ678" s="21"/>
      <c r="CK678" s="21"/>
      <c r="CL678" s="21"/>
      <c r="CM678" s="21"/>
      <c r="CN678" s="21"/>
      <c r="CO678" s="21"/>
      <c r="CP678" s="21"/>
      <c r="CQ678" s="21"/>
      <c r="CR678" s="21"/>
      <c r="CS678" s="21"/>
      <c r="CT678" s="21"/>
      <c r="CU678" s="21"/>
      <c r="CV678" s="21"/>
      <c r="CW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21"/>
      <c r="BT679" s="21"/>
      <c r="BU679" s="21"/>
      <c r="BV679" s="21"/>
      <c r="BW679" s="21"/>
      <c r="BX679" s="21"/>
      <c r="BY679" s="21"/>
      <c r="BZ679" s="21"/>
      <c r="CA679" s="21"/>
      <c r="CB679" s="21"/>
      <c r="CC679" s="21"/>
      <c r="CD679" s="21"/>
      <c r="CE679" s="21"/>
      <c r="CF679" s="21"/>
      <c r="CG679" s="21"/>
      <c r="CH679" s="21"/>
      <c r="CI679" s="21"/>
      <c r="CJ679" s="21"/>
      <c r="CK679" s="21"/>
      <c r="CL679" s="21"/>
      <c r="CM679" s="21"/>
      <c r="CN679" s="21"/>
      <c r="CO679" s="21"/>
      <c r="CP679" s="21"/>
      <c r="CQ679" s="21"/>
      <c r="CR679" s="21"/>
      <c r="CS679" s="21"/>
      <c r="CT679" s="21"/>
      <c r="CU679" s="21"/>
      <c r="CV679" s="21"/>
      <c r="CW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21"/>
      <c r="BT680" s="21"/>
      <c r="BU680" s="21"/>
      <c r="BV680" s="21"/>
      <c r="BW680" s="21"/>
      <c r="BX680" s="21"/>
      <c r="BY680" s="21"/>
      <c r="BZ680" s="21"/>
      <c r="CA680" s="21"/>
      <c r="CB680" s="21"/>
      <c r="CC680" s="21"/>
      <c r="CD680" s="21"/>
      <c r="CE680" s="21"/>
      <c r="CF680" s="21"/>
      <c r="CG680" s="21"/>
      <c r="CH680" s="21"/>
      <c r="CI680" s="21"/>
      <c r="CJ680" s="21"/>
      <c r="CK680" s="21"/>
      <c r="CL680" s="21"/>
      <c r="CM680" s="21"/>
      <c r="CN680" s="21"/>
      <c r="CO680" s="21"/>
      <c r="CP680" s="21"/>
      <c r="CQ680" s="21"/>
      <c r="CR680" s="21"/>
      <c r="CS680" s="21"/>
      <c r="CT680" s="21"/>
      <c r="CU680" s="21"/>
      <c r="CV680" s="21"/>
      <c r="CW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21"/>
      <c r="BT681" s="21"/>
      <c r="BU681" s="21"/>
      <c r="BV681" s="21"/>
      <c r="BW681" s="21"/>
      <c r="BX681" s="21"/>
      <c r="BY681" s="21"/>
      <c r="BZ681" s="21"/>
      <c r="CA681" s="21"/>
      <c r="CB681" s="21"/>
      <c r="CC681" s="21"/>
      <c r="CD681" s="21"/>
      <c r="CE681" s="21"/>
      <c r="CF681" s="21"/>
      <c r="CG681" s="21"/>
      <c r="CH681" s="21"/>
      <c r="CI681" s="21"/>
      <c r="CJ681" s="21"/>
      <c r="CK681" s="21"/>
      <c r="CL681" s="21"/>
      <c r="CM681" s="21"/>
      <c r="CN681" s="21"/>
      <c r="CO681" s="21"/>
      <c r="CP681" s="21"/>
      <c r="CQ681" s="21"/>
      <c r="CR681" s="21"/>
      <c r="CS681" s="21"/>
      <c r="CT681" s="21"/>
      <c r="CU681" s="21"/>
      <c r="CV681" s="21"/>
      <c r="CW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21"/>
      <c r="BT682" s="21"/>
      <c r="BU682" s="21"/>
      <c r="BV682" s="21"/>
      <c r="BW682" s="21"/>
      <c r="BX682" s="21"/>
      <c r="BY682" s="21"/>
      <c r="BZ682" s="21"/>
      <c r="CA682" s="21"/>
      <c r="CB682" s="21"/>
      <c r="CC682" s="21"/>
      <c r="CD682" s="21"/>
      <c r="CE682" s="21"/>
      <c r="CF682" s="21"/>
      <c r="CG682" s="21"/>
      <c r="CH682" s="21"/>
      <c r="CI682" s="21"/>
      <c r="CJ682" s="21"/>
      <c r="CK682" s="21"/>
      <c r="CL682" s="21"/>
      <c r="CM682" s="21"/>
      <c r="CN682" s="21"/>
      <c r="CO682" s="21"/>
      <c r="CP682" s="21"/>
      <c r="CQ682" s="21"/>
      <c r="CR682" s="21"/>
      <c r="CS682" s="21"/>
      <c r="CT682" s="21"/>
      <c r="CU682" s="21"/>
      <c r="CV682" s="21"/>
      <c r="CW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21"/>
      <c r="BT683" s="21"/>
      <c r="BU683" s="21"/>
      <c r="BV683" s="21"/>
      <c r="BW683" s="21"/>
      <c r="BX683" s="21"/>
      <c r="BY683" s="21"/>
      <c r="BZ683" s="21"/>
      <c r="CA683" s="21"/>
      <c r="CB683" s="21"/>
      <c r="CC683" s="21"/>
      <c r="CD683" s="21"/>
      <c r="CE683" s="21"/>
      <c r="CF683" s="21"/>
      <c r="CG683" s="21"/>
      <c r="CH683" s="21"/>
      <c r="CI683" s="21"/>
      <c r="CJ683" s="21"/>
      <c r="CK683" s="21"/>
      <c r="CL683" s="21"/>
      <c r="CM683" s="21"/>
      <c r="CN683" s="21"/>
      <c r="CO683" s="21"/>
      <c r="CP683" s="21"/>
      <c r="CQ683" s="21"/>
      <c r="CR683" s="21"/>
      <c r="CS683" s="21"/>
      <c r="CT683" s="21"/>
      <c r="CU683" s="21"/>
      <c r="CV683" s="21"/>
      <c r="CW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21"/>
      <c r="BT684" s="21"/>
      <c r="BU684" s="21"/>
      <c r="BV684" s="21"/>
      <c r="BW684" s="21"/>
      <c r="BX684" s="21"/>
      <c r="BY684" s="21"/>
      <c r="BZ684" s="21"/>
      <c r="CA684" s="21"/>
      <c r="CB684" s="21"/>
      <c r="CC684" s="21"/>
      <c r="CD684" s="21"/>
      <c r="CE684" s="21"/>
      <c r="CF684" s="21"/>
      <c r="CG684" s="21"/>
      <c r="CH684" s="21"/>
      <c r="CI684" s="21"/>
      <c r="CJ684" s="21"/>
      <c r="CK684" s="21"/>
      <c r="CL684" s="21"/>
      <c r="CM684" s="21"/>
      <c r="CN684" s="21"/>
      <c r="CO684" s="21"/>
      <c r="CP684" s="21"/>
      <c r="CQ684" s="21"/>
      <c r="CR684" s="21"/>
      <c r="CS684" s="21"/>
      <c r="CT684" s="21"/>
      <c r="CU684" s="21"/>
      <c r="CV684" s="21"/>
      <c r="CW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21"/>
      <c r="BT685" s="21"/>
      <c r="BU685" s="21"/>
      <c r="BV685" s="21"/>
      <c r="BW685" s="21"/>
      <c r="BX685" s="21"/>
      <c r="BY685" s="21"/>
      <c r="BZ685" s="21"/>
      <c r="CA685" s="21"/>
      <c r="CB685" s="21"/>
      <c r="CC685" s="21"/>
      <c r="CD685" s="21"/>
      <c r="CE685" s="21"/>
      <c r="CF685" s="21"/>
      <c r="CG685" s="21"/>
      <c r="CH685" s="21"/>
      <c r="CI685" s="21"/>
      <c r="CJ685" s="21"/>
      <c r="CK685" s="21"/>
      <c r="CL685" s="21"/>
      <c r="CM685" s="21"/>
      <c r="CN685" s="21"/>
      <c r="CO685" s="21"/>
      <c r="CP685" s="21"/>
      <c r="CQ685" s="21"/>
      <c r="CR685" s="21"/>
      <c r="CS685" s="21"/>
      <c r="CT685" s="21"/>
      <c r="CU685" s="21"/>
      <c r="CV685" s="21"/>
      <c r="CW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21"/>
      <c r="BT686" s="21"/>
      <c r="BU686" s="21"/>
      <c r="BV686" s="21"/>
      <c r="BW686" s="21"/>
      <c r="BX686" s="21"/>
      <c r="BY686" s="21"/>
      <c r="BZ686" s="21"/>
      <c r="CA686" s="21"/>
      <c r="CB686" s="21"/>
      <c r="CC686" s="21"/>
      <c r="CD686" s="21"/>
      <c r="CE686" s="21"/>
      <c r="CF686" s="21"/>
      <c r="CG686" s="21"/>
      <c r="CH686" s="21"/>
      <c r="CI686" s="21"/>
      <c r="CJ686" s="21"/>
      <c r="CK686" s="21"/>
      <c r="CL686" s="21"/>
      <c r="CM686" s="21"/>
      <c r="CN686" s="21"/>
      <c r="CO686" s="21"/>
      <c r="CP686" s="21"/>
      <c r="CQ686" s="21"/>
      <c r="CR686" s="21"/>
      <c r="CS686" s="21"/>
      <c r="CT686" s="21"/>
      <c r="CU686" s="21"/>
      <c r="CV686" s="21"/>
      <c r="CW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21"/>
      <c r="BT687" s="21"/>
      <c r="BU687" s="21"/>
      <c r="BV687" s="21"/>
      <c r="BW687" s="21"/>
      <c r="BX687" s="21"/>
      <c r="BY687" s="21"/>
      <c r="BZ687" s="21"/>
      <c r="CA687" s="21"/>
      <c r="CB687" s="21"/>
      <c r="CC687" s="21"/>
      <c r="CD687" s="21"/>
      <c r="CE687" s="21"/>
      <c r="CF687" s="21"/>
      <c r="CG687" s="21"/>
      <c r="CH687" s="21"/>
      <c r="CI687" s="21"/>
      <c r="CJ687" s="21"/>
      <c r="CK687" s="21"/>
      <c r="CL687" s="21"/>
      <c r="CM687" s="21"/>
      <c r="CN687" s="21"/>
      <c r="CO687" s="21"/>
      <c r="CP687" s="21"/>
      <c r="CQ687" s="21"/>
      <c r="CR687" s="21"/>
      <c r="CS687" s="21"/>
      <c r="CT687" s="21"/>
      <c r="CU687" s="21"/>
      <c r="CV687" s="21"/>
      <c r="CW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21"/>
      <c r="BT688" s="21"/>
      <c r="BU688" s="21"/>
      <c r="BV688" s="21"/>
      <c r="BW688" s="21"/>
      <c r="BX688" s="21"/>
      <c r="BY688" s="21"/>
      <c r="BZ688" s="21"/>
      <c r="CA688" s="21"/>
      <c r="CB688" s="21"/>
      <c r="CC688" s="21"/>
      <c r="CD688" s="21"/>
      <c r="CE688" s="21"/>
      <c r="CF688" s="21"/>
      <c r="CG688" s="21"/>
      <c r="CH688" s="21"/>
      <c r="CI688" s="21"/>
      <c r="CJ688" s="21"/>
      <c r="CK688" s="21"/>
      <c r="CL688" s="21"/>
      <c r="CM688" s="21"/>
      <c r="CN688" s="21"/>
      <c r="CO688" s="21"/>
      <c r="CP688" s="21"/>
      <c r="CQ688" s="21"/>
      <c r="CR688" s="21"/>
      <c r="CS688" s="21"/>
      <c r="CT688" s="21"/>
      <c r="CU688" s="21"/>
      <c r="CV688" s="21"/>
      <c r="CW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21"/>
      <c r="BT689" s="21"/>
      <c r="BU689" s="21"/>
      <c r="BV689" s="21"/>
      <c r="BW689" s="21"/>
      <c r="BX689" s="21"/>
      <c r="BY689" s="21"/>
      <c r="BZ689" s="21"/>
      <c r="CA689" s="21"/>
      <c r="CB689" s="21"/>
      <c r="CC689" s="21"/>
      <c r="CD689" s="21"/>
      <c r="CE689" s="21"/>
      <c r="CF689" s="21"/>
      <c r="CG689" s="21"/>
      <c r="CH689" s="21"/>
      <c r="CI689" s="21"/>
      <c r="CJ689" s="21"/>
      <c r="CK689" s="21"/>
      <c r="CL689" s="21"/>
      <c r="CM689" s="21"/>
      <c r="CN689" s="21"/>
      <c r="CO689" s="21"/>
      <c r="CP689" s="21"/>
      <c r="CQ689" s="21"/>
      <c r="CR689" s="21"/>
      <c r="CS689" s="21"/>
      <c r="CT689" s="21"/>
      <c r="CU689" s="21"/>
      <c r="CV689" s="21"/>
      <c r="CW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21"/>
      <c r="BT690" s="21"/>
      <c r="BU690" s="21"/>
      <c r="BV690" s="21"/>
      <c r="BW690" s="21"/>
      <c r="BX690" s="21"/>
      <c r="BY690" s="21"/>
      <c r="BZ690" s="21"/>
      <c r="CA690" s="21"/>
      <c r="CB690" s="21"/>
      <c r="CC690" s="21"/>
      <c r="CD690" s="21"/>
      <c r="CE690" s="21"/>
      <c r="CF690" s="21"/>
      <c r="CG690" s="21"/>
      <c r="CH690" s="21"/>
      <c r="CI690" s="21"/>
      <c r="CJ690" s="21"/>
      <c r="CK690" s="21"/>
      <c r="CL690" s="21"/>
      <c r="CM690" s="21"/>
      <c r="CN690" s="21"/>
      <c r="CO690" s="21"/>
      <c r="CP690" s="21"/>
      <c r="CQ690" s="21"/>
      <c r="CR690" s="21"/>
      <c r="CS690" s="21"/>
      <c r="CT690" s="21"/>
      <c r="CU690" s="21"/>
      <c r="CV690" s="21"/>
      <c r="CW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21"/>
      <c r="BT691" s="21"/>
      <c r="BU691" s="21"/>
      <c r="BV691" s="21"/>
      <c r="BW691" s="21"/>
      <c r="BX691" s="21"/>
      <c r="BY691" s="21"/>
      <c r="BZ691" s="21"/>
      <c r="CA691" s="21"/>
      <c r="CB691" s="21"/>
      <c r="CC691" s="21"/>
      <c r="CD691" s="21"/>
      <c r="CE691" s="21"/>
      <c r="CF691" s="21"/>
      <c r="CG691" s="21"/>
      <c r="CH691" s="21"/>
      <c r="CI691" s="21"/>
      <c r="CJ691" s="21"/>
      <c r="CK691" s="21"/>
      <c r="CL691" s="21"/>
      <c r="CM691" s="21"/>
      <c r="CN691" s="21"/>
      <c r="CO691" s="21"/>
      <c r="CP691" s="21"/>
      <c r="CQ691" s="21"/>
      <c r="CR691" s="21"/>
      <c r="CS691" s="21"/>
      <c r="CT691" s="21"/>
      <c r="CU691" s="21"/>
      <c r="CV691" s="21"/>
      <c r="CW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21"/>
      <c r="BT692" s="21"/>
      <c r="BU692" s="21"/>
      <c r="BV692" s="21"/>
      <c r="BW692" s="21"/>
      <c r="BX692" s="21"/>
      <c r="BY692" s="21"/>
      <c r="BZ692" s="21"/>
      <c r="CA692" s="21"/>
      <c r="CB692" s="21"/>
      <c r="CC692" s="21"/>
      <c r="CD692" s="21"/>
      <c r="CE692" s="21"/>
      <c r="CF692" s="21"/>
      <c r="CG692" s="21"/>
      <c r="CH692" s="21"/>
      <c r="CI692" s="21"/>
      <c r="CJ692" s="21"/>
      <c r="CK692" s="21"/>
      <c r="CL692" s="21"/>
      <c r="CM692" s="21"/>
      <c r="CN692" s="21"/>
      <c r="CO692" s="21"/>
      <c r="CP692" s="21"/>
      <c r="CQ692" s="21"/>
      <c r="CR692" s="21"/>
      <c r="CS692" s="21"/>
      <c r="CT692" s="21"/>
      <c r="CU692" s="21"/>
      <c r="CV692" s="21"/>
      <c r="CW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21"/>
      <c r="BT693" s="21"/>
      <c r="BU693" s="21"/>
      <c r="BV693" s="21"/>
      <c r="BW693" s="21"/>
      <c r="BX693" s="21"/>
      <c r="BY693" s="21"/>
      <c r="BZ693" s="21"/>
      <c r="CA693" s="21"/>
      <c r="CB693" s="21"/>
      <c r="CC693" s="21"/>
      <c r="CD693" s="21"/>
      <c r="CE693" s="21"/>
      <c r="CF693" s="21"/>
      <c r="CG693" s="21"/>
      <c r="CH693" s="21"/>
      <c r="CI693" s="21"/>
      <c r="CJ693" s="21"/>
      <c r="CK693" s="21"/>
      <c r="CL693" s="21"/>
      <c r="CM693" s="21"/>
      <c r="CN693" s="21"/>
      <c r="CO693" s="21"/>
      <c r="CP693" s="21"/>
      <c r="CQ693" s="21"/>
      <c r="CR693" s="21"/>
      <c r="CS693" s="21"/>
      <c r="CT693" s="21"/>
      <c r="CU693" s="21"/>
      <c r="CV693" s="21"/>
      <c r="CW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21"/>
      <c r="BT694" s="21"/>
      <c r="BU694" s="21"/>
      <c r="BV694" s="21"/>
      <c r="BW694" s="21"/>
      <c r="BX694" s="21"/>
      <c r="BY694" s="21"/>
      <c r="BZ694" s="21"/>
      <c r="CA694" s="21"/>
      <c r="CB694" s="21"/>
      <c r="CC694" s="21"/>
      <c r="CD694" s="21"/>
      <c r="CE694" s="21"/>
      <c r="CF694" s="21"/>
      <c r="CG694" s="21"/>
      <c r="CH694" s="21"/>
      <c r="CI694" s="21"/>
      <c r="CJ694" s="21"/>
      <c r="CK694" s="21"/>
      <c r="CL694" s="21"/>
      <c r="CM694" s="21"/>
      <c r="CN694" s="21"/>
      <c r="CO694" s="21"/>
      <c r="CP694" s="21"/>
      <c r="CQ694" s="21"/>
      <c r="CR694" s="21"/>
      <c r="CS694" s="21"/>
      <c r="CT694" s="21"/>
      <c r="CU694" s="21"/>
      <c r="CV694" s="21"/>
      <c r="CW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21"/>
      <c r="BT695" s="21"/>
      <c r="BU695" s="21"/>
      <c r="BV695" s="21"/>
      <c r="BW695" s="21"/>
      <c r="BX695" s="21"/>
      <c r="BY695" s="21"/>
      <c r="BZ695" s="21"/>
      <c r="CA695" s="21"/>
      <c r="CB695" s="21"/>
      <c r="CC695" s="21"/>
      <c r="CD695" s="21"/>
      <c r="CE695" s="21"/>
      <c r="CF695" s="21"/>
      <c r="CG695" s="21"/>
      <c r="CH695" s="21"/>
      <c r="CI695" s="21"/>
      <c r="CJ695" s="21"/>
      <c r="CK695" s="21"/>
      <c r="CL695" s="21"/>
      <c r="CM695" s="21"/>
      <c r="CN695" s="21"/>
      <c r="CO695" s="21"/>
      <c r="CP695" s="21"/>
      <c r="CQ695" s="21"/>
      <c r="CR695" s="21"/>
      <c r="CS695" s="21"/>
      <c r="CT695" s="21"/>
      <c r="CU695" s="21"/>
      <c r="CV695" s="21"/>
      <c r="CW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21"/>
      <c r="BT696" s="21"/>
      <c r="BU696" s="21"/>
      <c r="BV696" s="21"/>
      <c r="BW696" s="21"/>
      <c r="BX696" s="21"/>
      <c r="BY696" s="21"/>
      <c r="BZ696" s="21"/>
      <c r="CA696" s="21"/>
      <c r="CB696" s="21"/>
      <c r="CC696" s="21"/>
      <c r="CD696" s="21"/>
      <c r="CE696" s="21"/>
      <c r="CF696" s="21"/>
      <c r="CG696" s="21"/>
      <c r="CH696" s="21"/>
      <c r="CI696" s="21"/>
      <c r="CJ696" s="21"/>
      <c r="CK696" s="21"/>
      <c r="CL696" s="21"/>
      <c r="CM696" s="21"/>
      <c r="CN696" s="21"/>
      <c r="CO696" s="21"/>
      <c r="CP696" s="21"/>
      <c r="CQ696" s="21"/>
      <c r="CR696" s="21"/>
      <c r="CS696" s="21"/>
      <c r="CT696" s="21"/>
      <c r="CU696" s="21"/>
      <c r="CV696" s="21"/>
      <c r="CW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21"/>
      <c r="BT697" s="21"/>
      <c r="BU697" s="21"/>
      <c r="BV697" s="21"/>
      <c r="BW697" s="21"/>
      <c r="BX697" s="21"/>
      <c r="BY697" s="21"/>
      <c r="BZ697" s="21"/>
      <c r="CA697" s="21"/>
      <c r="CB697" s="21"/>
      <c r="CC697" s="21"/>
      <c r="CD697" s="21"/>
      <c r="CE697" s="21"/>
      <c r="CF697" s="21"/>
      <c r="CG697" s="21"/>
      <c r="CH697" s="21"/>
      <c r="CI697" s="21"/>
      <c r="CJ697" s="21"/>
      <c r="CK697" s="21"/>
      <c r="CL697" s="21"/>
      <c r="CM697" s="21"/>
      <c r="CN697" s="21"/>
      <c r="CO697" s="21"/>
      <c r="CP697" s="21"/>
      <c r="CQ697" s="21"/>
      <c r="CR697" s="21"/>
      <c r="CS697" s="21"/>
      <c r="CT697" s="21"/>
      <c r="CU697" s="21"/>
      <c r="CV697" s="21"/>
      <c r="CW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21"/>
      <c r="BT698" s="21"/>
      <c r="BU698" s="21"/>
      <c r="BV698" s="21"/>
      <c r="BW698" s="21"/>
      <c r="BX698" s="21"/>
      <c r="BY698" s="21"/>
      <c r="BZ698" s="21"/>
      <c r="CA698" s="21"/>
      <c r="CB698" s="21"/>
      <c r="CC698" s="21"/>
      <c r="CD698" s="21"/>
      <c r="CE698" s="21"/>
      <c r="CF698" s="21"/>
      <c r="CG698" s="21"/>
      <c r="CH698" s="21"/>
      <c r="CI698" s="21"/>
      <c r="CJ698" s="21"/>
      <c r="CK698" s="21"/>
      <c r="CL698" s="21"/>
      <c r="CM698" s="21"/>
      <c r="CN698" s="21"/>
      <c r="CO698" s="21"/>
      <c r="CP698" s="21"/>
      <c r="CQ698" s="21"/>
      <c r="CR698" s="21"/>
      <c r="CS698" s="21"/>
      <c r="CT698" s="21"/>
      <c r="CU698" s="21"/>
      <c r="CV698" s="21"/>
      <c r="CW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21"/>
      <c r="BT699" s="21"/>
      <c r="BU699" s="21"/>
      <c r="BV699" s="21"/>
      <c r="BW699" s="21"/>
      <c r="BX699" s="21"/>
      <c r="BY699" s="21"/>
      <c r="BZ699" s="21"/>
      <c r="CA699" s="21"/>
      <c r="CB699" s="21"/>
      <c r="CC699" s="21"/>
      <c r="CD699" s="21"/>
      <c r="CE699" s="21"/>
      <c r="CF699" s="21"/>
      <c r="CG699" s="21"/>
      <c r="CH699" s="21"/>
      <c r="CI699" s="21"/>
      <c r="CJ699" s="21"/>
      <c r="CK699" s="21"/>
      <c r="CL699" s="21"/>
      <c r="CM699" s="21"/>
      <c r="CN699" s="21"/>
      <c r="CO699" s="21"/>
      <c r="CP699" s="21"/>
      <c r="CQ699" s="21"/>
      <c r="CR699" s="21"/>
      <c r="CS699" s="21"/>
      <c r="CT699" s="21"/>
      <c r="CU699" s="21"/>
      <c r="CV699" s="21"/>
      <c r="CW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21"/>
      <c r="BT700" s="21"/>
      <c r="BU700" s="21"/>
      <c r="BV700" s="21"/>
      <c r="BW700" s="21"/>
      <c r="BX700" s="21"/>
      <c r="BY700" s="21"/>
      <c r="BZ700" s="21"/>
      <c r="CA700" s="21"/>
      <c r="CB700" s="21"/>
      <c r="CC700" s="21"/>
      <c r="CD700" s="21"/>
      <c r="CE700" s="21"/>
      <c r="CF700" s="21"/>
      <c r="CG700" s="21"/>
      <c r="CH700" s="21"/>
      <c r="CI700" s="21"/>
      <c r="CJ700" s="21"/>
      <c r="CK700" s="21"/>
      <c r="CL700" s="21"/>
      <c r="CM700" s="21"/>
      <c r="CN700" s="21"/>
      <c r="CO700" s="21"/>
      <c r="CP700" s="21"/>
      <c r="CQ700" s="21"/>
      <c r="CR700" s="21"/>
      <c r="CS700" s="21"/>
      <c r="CT700" s="21"/>
      <c r="CU700" s="21"/>
      <c r="CV700" s="21"/>
      <c r="CW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21"/>
      <c r="BT701" s="21"/>
      <c r="BU701" s="21"/>
      <c r="BV701" s="21"/>
      <c r="BW701" s="21"/>
      <c r="BX701" s="21"/>
      <c r="BY701" s="21"/>
      <c r="BZ701" s="21"/>
      <c r="CA701" s="21"/>
      <c r="CB701" s="21"/>
      <c r="CC701" s="21"/>
      <c r="CD701" s="21"/>
      <c r="CE701" s="21"/>
      <c r="CF701" s="21"/>
      <c r="CG701" s="21"/>
      <c r="CH701" s="21"/>
      <c r="CI701" s="21"/>
      <c r="CJ701" s="21"/>
      <c r="CK701" s="21"/>
      <c r="CL701" s="21"/>
      <c r="CM701" s="21"/>
      <c r="CN701" s="21"/>
      <c r="CO701" s="21"/>
      <c r="CP701" s="21"/>
      <c r="CQ701" s="21"/>
      <c r="CR701" s="21"/>
      <c r="CS701" s="21"/>
      <c r="CT701" s="21"/>
      <c r="CU701" s="21"/>
      <c r="CV701" s="21"/>
      <c r="CW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21"/>
      <c r="BT702" s="21"/>
      <c r="BU702" s="21"/>
      <c r="BV702" s="21"/>
      <c r="BW702" s="21"/>
      <c r="BX702" s="21"/>
      <c r="BY702" s="21"/>
      <c r="BZ702" s="21"/>
      <c r="CA702" s="21"/>
      <c r="CB702" s="21"/>
      <c r="CC702" s="21"/>
      <c r="CD702" s="21"/>
      <c r="CE702" s="21"/>
      <c r="CF702" s="21"/>
      <c r="CG702" s="21"/>
      <c r="CH702" s="21"/>
      <c r="CI702" s="21"/>
      <c r="CJ702" s="21"/>
      <c r="CK702" s="21"/>
      <c r="CL702" s="21"/>
      <c r="CM702" s="21"/>
      <c r="CN702" s="21"/>
      <c r="CO702" s="21"/>
      <c r="CP702" s="21"/>
      <c r="CQ702" s="21"/>
      <c r="CR702" s="21"/>
      <c r="CS702" s="21"/>
      <c r="CT702" s="21"/>
      <c r="CU702" s="21"/>
      <c r="CV702" s="21"/>
      <c r="CW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21"/>
      <c r="BT703" s="21"/>
      <c r="BU703" s="21"/>
      <c r="BV703" s="21"/>
      <c r="BW703" s="21"/>
      <c r="BX703" s="21"/>
      <c r="BY703" s="21"/>
      <c r="BZ703" s="21"/>
      <c r="CA703" s="21"/>
      <c r="CB703" s="21"/>
      <c r="CC703" s="21"/>
      <c r="CD703" s="21"/>
      <c r="CE703" s="21"/>
      <c r="CF703" s="21"/>
      <c r="CG703" s="21"/>
      <c r="CH703" s="21"/>
      <c r="CI703" s="21"/>
      <c r="CJ703" s="21"/>
      <c r="CK703" s="21"/>
      <c r="CL703" s="21"/>
      <c r="CM703" s="21"/>
      <c r="CN703" s="21"/>
      <c r="CO703" s="21"/>
      <c r="CP703" s="21"/>
      <c r="CQ703" s="21"/>
      <c r="CR703" s="21"/>
      <c r="CS703" s="21"/>
      <c r="CT703" s="21"/>
      <c r="CU703" s="21"/>
      <c r="CV703" s="21"/>
      <c r="CW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21"/>
      <c r="BT704" s="21"/>
      <c r="BU704" s="21"/>
      <c r="BV704" s="21"/>
      <c r="BW704" s="21"/>
      <c r="BX704" s="21"/>
      <c r="BY704" s="21"/>
      <c r="BZ704" s="21"/>
      <c r="CA704" s="21"/>
      <c r="CB704" s="21"/>
      <c r="CC704" s="21"/>
      <c r="CD704" s="21"/>
      <c r="CE704" s="21"/>
      <c r="CF704" s="21"/>
      <c r="CG704" s="21"/>
      <c r="CH704" s="21"/>
      <c r="CI704" s="21"/>
      <c r="CJ704" s="21"/>
      <c r="CK704" s="21"/>
      <c r="CL704" s="21"/>
      <c r="CM704" s="21"/>
      <c r="CN704" s="21"/>
      <c r="CO704" s="21"/>
      <c r="CP704" s="21"/>
      <c r="CQ704" s="21"/>
      <c r="CR704" s="21"/>
      <c r="CS704" s="21"/>
      <c r="CT704" s="21"/>
      <c r="CU704" s="21"/>
      <c r="CV704" s="21"/>
      <c r="CW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21"/>
      <c r="BT705" s="21"/>
      <c r="BU705" s="21"/>
      <c r="BV705" s="21"/>
      <c r="BW705" s="21"/>
      <c r="BX705" s="21"/>
      <c r="BY705" s="21"/>
      <c r="BZ705" s="21"/>
      <c r="CA705" s="21"/>
      <c r="CB705" s="21"/>
      <c r="CC705" s="21"/>
      <c r="CD705" s="21"/>
      <c r="CE705" s="21"/>
      <c r="CF705" s="21"/>
      <c r="CG705" s="21"/>
      <c r="CH705" s="21"/>
      <c r="CI705" s="21"/>
      <c r="CJ705" s="21"/>
      <c r="CK705" s="21"/>
      <c r="CL705" s="21"/>
      <c r="CM705" s="21"/>
      <c r="CN705" s="21"/>
      <c r="CO705" s="21"/>
      <c r="CP705" s="21"/>
      <c r="CQ705" s="21"/>
      <c r="CR705" s="21"/>
      <c r="CS705" s="21"/>
      <c r="CT705" s="21"/>
      <c r="CU705" s="21"/>
      <c r="CV705" s="21"/>
      <c r="CW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21"/>
      <c r="BT706" s="21"/>
      <c r="BU706" s="21"/>
      <c r="BV706" s="21"/>
      <c r="BW706" s="21"/>
      <c r="BX706" s="21"/>
      <c r="BY706" s="21"/>
      <c r="BZ706" s="21"/>
      <c r="CA706" s="21"/>
      <c r="CB706" s="21"/>
      <c r="CC706" s="21"/>
      <c r="CD706" s="21"/>
      <c r="CE706" s="21"/>
      <c r="CF706" s="21"/>
      <c r="CG706" s="21"/>
      <c r="CH706" s="21"/>
      <c r="CI706" s="21"/>
      <c r="CJ706" s="21"/>
      <c r="CK706" s="21"/>
      <c r="CL706" s="21"/>
      <c r="CM706" s="21"/>
      <c r="CN706" s="21"/>
      <c r="CO706" s="21"/>
      <c r="CP706" s="21"/>
      <c r="CQ706" s="21"/>
      <c r="CR706" s="21"/>
      <c r="CS706" s="21"/>
      <c r="CT706" s="21"/>
      <c r="CU706" s="21"/>
      <c r="CV706" s="21"/>
      <c r="CW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21"/>
      <c r="BT707" s="21"/>
      <c r="BU707" s="21"/>
      <c r="BV707" s="21"/>
      <c r="BW707" s="21"/>
      <c r="BX707" s="21"/>
      <c r="BY707" s="21"/>
      <c r="BZ707" s="21"/>
      <c r="CA707" s="21"/>
      <c r="CB707" s="21"/>
      <c r="CC707" s="21"/>
      <c r="CD707" s="21"/>
      <c r="CE707" s="21"/>
      <c r="CF707" s="21"/>
      <c r="CG707" s="21"/>
      <c r="CH707" s="21"/>
      <c r="CI707" s="21"/>
      <c r="CJ707" s="21"/>
      <c r="CK707" s="21"/>
      <c r="CL707" s="21"/>
      <c r="CM707" s="21"/>
      <c r="CN707" s="21"/>
      <c r="CO707" s="21"/>
      <c r="CP707" s="21"/>
      <c r="CQ707" s="21"/>
      <c r="CR707" s="21"/>
      <c r="CS707" s="21"/>
      <c r="CT707" s="21"/>
      <c r="CU707" s="21"/>
      <c r="CV707" s="21"/>
      <c r="CW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21"/>
      <c r="BT708" s="21"/>
      <c r="BU708" s="21"/>
      <c r="BV708" s="21"/>
      <c r="BW708" s="21"/>
      <c r="BX708" s="21"/>
      <c r="BY708" s="21"/>
      <c r="BZ708" s="21"/>
      <c r="CA708" s="21"/>
      <c r="CB708" s="21"/>
      <c r="CC708" s="21"/>
      <c r="CD708" s="21"/>
      <c r="CE708" s="21"/>
      <c r="CF708" s="21"/>
      <c r="CG708" s="21"/>
      <c r="CH708" s="21"/>
      <c r="CI708" s="21"/>
      <c r="CJ708" s="21"/>
      <c r="CK708" s="21"/>
      <c r="CL708" s="21"/>
      <c r="CM708" s="21"/>
      <c r="CN708" s="21"/>
      <c r="CO708" s="21"/>
      <c r="CP708" s="21"/>
      <c r="CQ708" s="21"/>
      <c r="CR708" s="21"/>
      <c r="CS708" s="21"/>
      <c r="CT708" s="21"/>
      <c r="CU708" s="21"/>
      <c r="CV708" s="21"/>
      <c r="CW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21"/>
      <c r="BT709" s="21"/>
      <c r="BU709" s="21"/>
      <c r="BV709" s="21"/>
      <c r="BW709" s="21"/>
      <c r="BX709" s="21"/>
      <c r="BY709" s="21"/>
      <c r="BZ709" s="21"/>
      <c r="CA709" s="21"/>
      <c r="CB709" s="21"/>
      <c r="CC709" s="21"/>
      <c r="CD709" s="21"/>
      <c r="CE709" s="21"/>
      <c r="CF709" s="21"/>
      <c r="CG709" s="21"/>
      <c r="CH709" s="21"/>
      <c r="CI709" s="21"/>
      <c r="CJ709" s="21"/>
      <c r="CK709" s="21"/>
      <c r="CL709" s="21"/>
      <c r="CM709" s="21"/>
      <c r="CN709" s="21"/>
      <c r="CO709" s="21"/>
      <c r="CP709" s="21"/>
      <c r="CQ709" s="21"/>
      <c r="CR709" s="21"/>
      <c r="CS709" s="21"/>
      <c r="CT709" s="21"/>
      <c r="CU709" s="21"/>
      <c r="CV709" s="21"/>
      <c r="CW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21"/>
      <c r="BT710" s="21"/>
      <c r="BU710" s="21"/>
      <c r="BV710" s="21"/>
      <c r="BW710" s="21"/>
      <c r="BX710" s="21"/>
      <c r="BY710" s="21"/>
      <c r="BZ710" s="21"/>
      <c r="CA710" s="21"/>
      <c r="CB710" s="21"/>
      <c r="CC710" s="21"/>
      <c r="CD710" s="21"/>
      <c r="CE710" s="21"/>
      <c r="CF710" s="21"/>
      <c r="CG710" s="21"/>
      <c r="CH710" s="21"/>
      <c r="CI710" s="21"/>
      <c r="CJ710" s="21"/>
      <c r="CK710" s="21"/>
      <c r="CL710" s="21"/>
      <c r="CM710" s="21"/>
      <c r="CN710" s="21"/>
      <c r="CO710" s="21"/>
      <c r="CP710" s="21"/>
      <c r="CQ710" s="21"/>
      <c r="CR710" s="21"/>
      <c r="CS710" s="21"/>
      <c r="CT710" s="21"/>
      <c r="CU710" s="21"/>
      <c r="CV710" s="21"/>
      <c r="CW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21"/>
      <c r="BT711" s="21"/>
      <c r="BU711" s="21"/>
      <c r="BV711" s="21"/>
      <c r="BW711" s="21"/>
      <c r="BX711" s="21"/>
      <c r="BY711" s="21"/>
      <c r="BZ711" s="21"/>
      <c r="CA711" s="21"/>
      <c r="CB711" s="21"/>
      <c r="CC711" s="21"/>
      <c r="CD711" s="21"/>
      <c r="CE711" s="21"/>
      <c r="CF711" s="21"/>
      <c r="CG711" s="21"/>
      <c r="CH711" s="21"/>
      <c r="CI711" s="21"/>
      <c r="CJ711" s="21"/>
      <c r="CK711" s="21"/>
      <c r="CL711" s="21"/>
      <c r="CM711" s="21"/>
      <c r="CN711" s="21"/>
      <c r="CO711" s="21"/>
      <c r="CP711" s="21"/>
      <c r="CQ711" s="21"/>
      <c r="CR711" s="21"/>
      <c r="CS711" s="21"/>
      <c r="CT711" s="21"/>
      <c r="CU711" s="21"/>
      <c r="CV711" s="21"/>
      <c r="CW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21"/>
      <c r="BT712" s="21"/>
      <c r="BU712" s="21"/>
      <c r="BV712" s="21"/>
      <c r="BW712" s="21"/>
      <c r="BX712" s="21"/>
      <c r="BY712" s="21"/>
      <c r="BZ712" s="21"/>
      <c r="CA712" s="21"/>
      <c r="CB712" s="21"/>
      <c r="CC712" s="21"/>
      <c r="CD712" s="21"/>
      <c r="CE712" s="21"/>
      <c r="CF712" s="21"/>
      <c r="CG712" s="21"/>
      <c r="CH712" s="21"/>
      <c r="CI712" s="21"/>
      <c r="CJ712" s="21"/>
      <c r="CK712" s="21"/>
      <c r="CL712" s="21"/>
      <c r="CM712" s="21"/>
      <c r="CN712" s="21"/>
      <c r="CO712" s="21"/>
      <c r="CP712" s="21"/>
      <c r="CQ712" s="21"/>
      <c r="CR712" s="21"/>
      <c r="CS712" s="21"/>
      <c r="CT712" s="21"/>
      <c r="CU712" s="21"/>
      <c r="CV712" s="21"/>
      <c r="CW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21"/>
      <c r="BT713" s="21"/>
      <c r="BU713" s="21"/>
      <c r="BV713" s="21"/>
      <c r="BW713" s="21"/>
      <c r="BX713" s="21"/>
      <c r="BY713" s="21"/>
      <c r="BZ713" s="21"/>
      <c r="CA713" s="21"/>
      <c r="CB713" s="21"/>
      <c r="CC713" s="21"/>
      <c r="CD713" s="21"/>
      <c r="CE713" s="21"/>
      <c r="CF713" s="21"/>
      <c r="CG713" s="21"/>
      <c r="CH713" s="21"/>
      <c r="CI713" s="21"/>
      <c r="CJ713" s="21"/>
      <c r="CK713" s="21"/>
      <c r="CL713" s="21"/>
      <c r="CM713" s="21"/>
      <c r="CN713" s="21"/>
      <c r="CO713" s="21"/>
      <c r="CP713" s="21"/>
      <c r="CQ713" s="21"/>
      <c r="CR713" s="21"/>
      <c r="CS713" s="21"/>
      <c r="CT713" s="21"/>
      <c r="CU713" s="21"/>
      <c r="CV713" s="21"/>
      <c r="CW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21"/>
      <c r="BT714" s="21"/>
      <c r="BU714" s="21"/>
      <c r="BV714" s="21"/>
      <c r="BW714" s="21"/>
      <c r="BX714" s="21"/>
      <c r="BY714" s="21"/>
      <c r="BZ714" s="21"/>
      <c r="CA714" s="21"/>
      <c r="CB714" s="21"/>
      <c r="CC714" s="21"/>
      <c r="CD714" s="21"/>
      <c r="CE714" s="21"/>
      <c r="CF714" s="21"/>
      <c r="CG714" s="21"/>
      <c r="CH714" s="21"/>
      <c r="CI714" s="21"/>
      <c r="CJ714" s="21"/>
      <c r="CK714" s="21"/>
      <c r="CL714" s="21"/>
      <c r="CM714" s="21"/>
      <c r="CN714" s="21"/>
      <c r="CO714" s="21"/>
      <c r="CP714" s="21"/>
      <c r="CQ714" s="21"/>
      <c r="CR714" s="21"/>
      <c r="CS714" s="21"/>
      <c r="CT714" s="21"/>
      <c r="CU714" s="21"/>
      <c r="CV714" s="21"/>
      <c r="CW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21"/>
      <c r="BT715" s="21"/>
      <c r="BU715" s="21"/>
      <c r="BV715" s="21"/>
      <c r="BW715" s="21"/>
      <c r="BX715" s="21"/>
      <c r="BY715" s="21"/>
      <c r="BZ715" s="21"/>
      <c r="CA715" s="21"/>
      <c r="CB715" s="21"/>
      <c r="CC715" s="21"/>
      <c r="CD715" s="21"/>
      <c r="CE715" s="21"/>
      <c r="CF715" s="21"/>
      <c r="CG715" s="21"/>
      <c r="CH715" s="21"/>
      <c r="CI715" s="21"/>
      <c r="CJ715" s="21"/>
      <c r="CK715" s="21"/>
      <c r="CL715" s="21"/>
      <c r="CM715" s="21"/>
      <c r="CN715" s="21"/>
      <c r="CO715" s="21"/>
      <c r="CP715" s="21"/>
      <c r="CQ715" s="21"/>
      <c r="CR715" s="21"/>
      <c r="CS715" s="21"/>
      <c r="CT715" s="21"/>
      <c r="CU715" s="21"/>
      <c r="CV715" s="21"/>
      <c r="CW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21"/>
      <c r="BT716" s="21"/>
      <c r="BU716" s="21"/>
      <c r="BV716" s="21"/>
      <c r="BW716" s="21"/>
      <c r="BX716" s="21"/>
      <c r="BY716" s="21"/>
      <c r="BZ716" s="21"/>
      <c r="CA716" s="21"/>
      <c r="CB716" s="21"/>
      <c r="CC716" s="21"/>
      <c r="CD716" s="21"/>
      <c r="CE716" s="21"/>
      <c r="CF716" s="21"/>
      <c r="CG716" s="21"/>
      <c r="CH716" s="21"/>
      <c r="CI716" s="21"/>
      <c r="CJ716" s="21"/>
      <c r="CK716" s="21"/>
      <c r="CL716" s="21"/>
      <c r="CM716" s="21"/>
      <c r="CN716" s="21"/>
      <c r="CO716" s="21"/>
      <c r="CP716" s="21"/>
      <c r="CQ716" s="21"/>
      <c r="CR716" s="21"/>
      <c r="CS716" s="21"/>
      <c r="CT716" s="21"/>
      <c r="CU716" s="21"/>
      <c r="CV716" s="21"/>
      <c r="CW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21"/>
      <c r="BT717" s="21"/>
      <c r="BU717" s="21"/>
      <c r="BV717" s="21"/>
      <c r="BW717" s="21"/>
      <c r="BX717" s="21"/>
      <c r="BY717" s="21"/>
      <c r="BZ717" s="21"/>
      <c r="CA717" s="21"/>
      <c r="CB717" s="21"/>
      <c r="CC717" s="21"/>
      <c r="CD717" s="21"/>
      <c r="CE717" s="21"/>
      <c r="CF717" s="21"/>
      <c r="CG717" s="21"/>
      <c r="CH717" s="21"/>
      <c r="CI717" s="21"/>
      <c r="CJ717" s="21"/>
      <c r="CK717" s="21"/>
      <c r="CL717" s="21"/>
      <c r="CM717" s="21"/>
      <c r="CN717" s="21"/>
      <c r="CO717" s="21"/>
      <c r="CP717" s="21"/>
      <c r="CQ717" s="21"/>
      <c r="CR717" s="21"/>
      <c r="CS717" s="21"/>
      <c r="CT717" s="21"/>
      <c r="CU717" s="21"/>
      <c r="CV717" s="21"/>
      <c r="CW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21"/>
      <c r="BT718" s="21"/>
      <c r="BU718" s="21"/>
      <c r="BV718" s="21"/>
      <c r="BW718" s="21"/>
      <c r="BX718" s="21"/>
      <c r="BY718" s="21"/>
      <c r="BZ718" s="21"/>
      <c r="CA718" s="21"/>
      <c r="CB718" s="21"/>
      <c r="CC718" s="21"/>
      <c r="CD718" s="21"/>
      <c r="CE718" s="21"/>
      <c r="CF718" s="21"/>
      <c r="CG718" s="21"/>
      <c r="CH718" s="21"/>
      <c r="CI718" s="21"/>
      <c r="CJ718" s="21"/>
      <c r="CK718" s="21"/>
      <c r="CL718" s="21"/>
      <c r="CM718" s="21"/>
      <c r="CN718" s="21"/>
      <c r="CO718" s="21"/>
      <c r="CP718" s="21"/>
      <c r="CQ718" s="21"/>
      <c r="CR718" s="21"/>
      <c r="CS718" s="21"/>
      <c r="CT718" s="21"/>
      <c r="CU718" s="21"/>
      <c r="CV718" s="21"/>
      <c r="CW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21"/>
      <c r="BT719" s="21"/>
      <c r="BU719" s="21"/>
      <c r="BV719" s="21"/>
      <c r="BW719" s="21"/>
      <c r="BX719" s="21"/>
      <c r="BY719" s="21"/>
      <c r="BZ719" s="21"/>
      <c r="CA719" s="21"/>
      <c r="CB719" s="21"/>
      <c r="CC719" s="21"/>
      <c r="CD719" s="21"/>
      <c r="CE719" s="21"/>
      <c r="CF719" s="21"/>
      <c r="CG719" s="21"/>
      <c r="CH719" s="21"/>
      <c r="CI719" s="21"/>
      <c r="CJ719" s="21"/>
      <c r="CK719" s="21"/>
      <c r="CL719" s="21"/>
      <c r="CM719" s="21"/>
      <c r="CN719" s="21"/>
      <c r="CO719" s="21"/>
      <c r="CP719" s="21"/>
      <c r="CQ719" s="21"/>
      <c r="CR719" s="21"/>
      <c r="CS719" s="21"/>
      <c r="CT719" s="21"/>
      <c r="CU719" s="21"/>
      <c r="CV719" s="21"/>
      <c r="CW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21"/>
      <c r="BT720" s="21"/>
      <c r="BU720" s="21"/>
      <c r="BV720" s="21"/>
      <c r="BW720" s="21"/>
      <c r="BX720" s="21"/>
      <c r="BY720" s="21"/>
      <c r="BZ720" s="21"/>
      <c r="CA720" s="21"/>
      <c r="CB720" s="21"/>
      <c r="CC720" s="21"/>
      <c r="CD720" s="21"/>
      <c r="CE720" s="21"/>
      <c r="CF720" s="21"/>
      <c r="CG720" s="21"/>
      <c r="CH720" s="21"/>
      <c r="CI720" s="21"/>
      <c r="CJ720" s="21"/>
      <c r="CK720" s="21"/>
      <c r="CL720" s="21"/>
      <c r="CM720" s="21"/>
      <c r="CN720" s="21"/>
      <c r="CO720" s="21"/>
      <c r="CP720" s="21"/>
      <c r="CQ720" s="21"/>
      <c r="CR720" s="21"/>
      <c r="CS720" s="21"/>
      <c r="CT720" s="21"/>
      <c r="CU720" s="21"/>
      <c r="CV720" s="21"/>
      <c r="CW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21"/>
      <c r="BT721" s="21"/>
      <c r="BU721" s="21"/>
      <c r="BV721" s="21"/>
      <c r="BW721" s="21"/>
      <c r="BX721" s="21"/>
      <c r="BY721" s="21"/>
      <c r="BZ721" s="21"/>
      <c r="CA721" s="21"/>
      <c r="CB721" s="21"/>
      <c r="CC721" s="21"/>
      <c r="CD721" s="21"/>
      <c r="CE721" s="21"/>
      <c r="CF721" s="21"/>
      <c r="CG721" s="21"/>
      <c r="CH721" s="21"/>
      <c r="CI721" s="21"/>
      <c r="CJ721" s="21"/>
      <c r="CK721" s="21"/>
      <c r="CL721" s="21"/>
      <c r="CM721" s="21"/>
      <c r="CN721" s="21"/>
      <c r="CO721" s="21"/>
      <c r="CP721" s="21"/>
      <c r="CQ721" s="21"/>
      <c r="CR721" s="21"/>
      <c r="CS721" s="21"/>
      <c r="CT721" s="21"/>
      <c r="CU721" s="21"/>
      <c r="CV721" s="21"/>
      <c r="CW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21"/>
      <c r="BT722" s="21"/>
      <c r="BU722" s="21"/>
      <c r="BV722" s="21"/>
      <c r="BW722" s="21"/>
      <c r="BX722" s="21"/>
      <c r="BY722" s="21"/>
      <c r="BZ722" s="21"/>
      <c r="CA722" s="21"/>
      <c r="CB722" s="21"/>
      <c r="CC722" s="21"/>
      <c r="CD722" s="21"/>
      <c r="CE722" s="21"/>
      <c r="CF722" s="21"/>
      <c r="CG722" s="21"/>
      <c r="CH722" s="21"/>
      <c r="CI722" s="21"/>
      <c r="CJ722" s="21"/>
      <c r="CK722" s="21"/>
      <c r="CL722" s="21"/>
      <c r="CM722" s="21"/>
      <c r="CN722" s="21"/>
      <c r="CO722" s="21"/>
      <c r="CP722" s="21"/>
      <c r="CQ722" s="21"/>
      <c r="CR722" s="21"/>
      <c r="CS722" s="21"/>
      <c r="CT722" s="21"/>
      <c r="CU722" s="21"/>
      <c r="CV722" s="21"/>
      <c r="CW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21"/>
      <c r="BT723" s="21"/>
      <c r="BU723" s="21"/>
      <c r="BV723" s="21"/>
      <c r="BW723" s="21"/>
      <c r="BX723" s="21"/>
      <c r="BY723" s="21"/>
      <c r="BZ723" s="21"/>
      <c r="CA723" s="21"/>
      <c r="CB723" s="21"/>
      <c r="CC723" s="21"/>
      <c r="CD723" s="21"/>
      <c r="CE723" s="21"/>
      <c r="CF723" s="21"/>
      <c r="CG723" s="21"/>
      <c r="CH723" s="21"/>
      <c r="CI723" s="21"/>
      <c r="CJ723" s="21"/>
      <c r="CK723" s="21"/>
      <c r="CL723" s="21"/>
      <c r="CM723" s="21"/>
      <c r="CN723" s="21"/>
      <c r="CO723" s="21"/>
      <c r="CP723" s="21"/>
      <c r="CQ723" s="21"/>
      <c r="CR723" s="21"/>
      <c r="CS723" s="21"/>
      <c r="CT723" s="21"/>
      <c r="CU723" s="21"/>
      <c r="CV723" s="21"/>
      <c r="CW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21"/>
      <c r="BT724" s="21"/>
      <c r="BU724" s="21"/>
      <c r="BV724" s="21"/>
      <c r="BW724" s="21"/>
      <c r="BX724" s="21"/>
      <c r="BY724" s="21"/>
      <c r="BZ724" s="21"/>
      <c r="CA724" s="21"/>
      <c r="CB724" s="21"/>
      <c r="CC724" s="21"/>
      <c r="CD724" s="21"/>
      <c r="CE724" s="21"/>
      <c r="CF724" s="21"/>
      <c r="CG724" s="21"/>
      <c r="CH724" s="21"/>
      <c r="CI724" s="21"/>
      <c r="CJ724" s="21"/>
      <c r="CK724" s="21"/>
      <c r="CL724" s="21"/>
      <c r="CM724" s="21"/>
      <c r="CN724" s="21"/>
      <c r="CO724" s="21"/>
      <c r="CP724" s="21"/>
      <c r="CQ724" s="21"/>
      <c r="CR724" s="21"/>
      <c r="CS724" s="21"/>
      <c r="CT724" s="21"/>
      <c r="CU724" s="21"/>
      <c r="CV724" s="21"/>
      <c r="CW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21"/>
      <c r="BT725" s="21"/>
      <c r="BU725" s="21"/>
      <c r="BV725" s="21"/>
      <c r="BW725" s="21"/>
      <c r="BX725" s="21"/>
      <c r="BY725" s="21"/>
      <c r="BZ725" s="21"/>
      <c r="CA725" s="21"/>
      <c r="CB725" s="21"/>
      <c r="CC725" s="21"/>
      <c r="CD725" s="21"/>
      <c r="CE725" s="21"/>
      <c r="CF725" s="21"/>
      <c r="CG725" s="21"/>
      <c r="CH725" s="21"/>
      <c r="CI725" s="21"/>
      <c r="CJ725" s="21"/>
      <c r="CK725" s="21"/>
      <c r="CL725" s="21"/>
      <c r="CM725" s="21"/>
      <c r="CN725" s="21"/>
      <c r="CO725" s="21"/>
      <c r="CP725" s="21"/>
      <c r="CQ725" s="21"/>
      <c r="CR725" s="21"/>
      <c r="CS725" s="21"/>
      <c r="CT725" s="21"/>
      <c r="CU725" s="21"/>
      <c r="CV725" s="21"/>
      <c r="CW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21"/>
      <c r="BT726" s="21"/>
      <c r="BU726" s="21"/>
      <c r="BV726" s="21"/>
      <c r="BW726" s="21"/>
      <c r="BX726" s="21"/>
      <c r="BY726" s="21"/>
      <c r="BZ726" s="21"/>
      <c r="CA726" s="21"/>
      <c r="CB726" s="21"/>
      <c r="CC726" s="21"/>
      <c r="CD726" s="21"/>
      <c r="CE726" s="21"/>
      <c r="CF726" s="21"/>
      <c r="CG726" s="21"/>
      <c r="CH726" s="21"/>
      <c r="CI726" s="21"/>
      <c r="CJ726" s="21"/>
      <c r="CK726" s="21"/>
      <c r="CL726" s="21"/>
      <c r="CM726" s="21"/>
      <c r="CN726" s="21"/>
      <c r="CO726" s="21"/>
      <c r="CP726" s="21"/>
      <c r="CQ726" s="21"/>
      <c r="CR726" s="21"/>
      <c r="CS726" s="21"/>
      <c r="CT726" s="21"/>
      <c r="CU726" s="21"/>
      <c r="CV726" s="21"/>
      <c r="CW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21"/>
      <c r="BT727" s="21"/>
      <c r="BU727" s="21"/>
      <c r="BV727" s="21"/>
      <c r="BW727" s="21"/>
      <c r="BX727" s="21"/>
      <c r="BY727" s="21"/>
      <c r="BZ727" s="21"/>
      <c r="CA727" s="21"/>
      <c r="CB727" s="21"/>
      <c r="CC727" s="21"/>
      <c r="CD727" s="21"/>
      <c r="CE727" s="21"/>
      <c r="CF727" s="21"/>
      <c r="CG727" s="21"/>
      <c r="CH727" s="21"/>
      <c r="CI727" s="21"/>
      <c r="CJ727" s="21"/>
      <c r="CK727" s="21"/>
      <c r="CL727" s="21"/>
      <c r="CM727" s="21"/>
      <c r="CN727" s="21"/>
      <c r="CO727" s="21"/>
      <c r="CP727" s="21"/>
      <c r="CQ727" s="21"/>
      <c r="CR727" s="21"/>
      <c r="CS727" s="21"/>
      <c r="CT727" s="21"/>
      <c r="CU727" s="21"/>
      <c r="CV727" s="21"/>
      <c r="CW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21"/>
      <c r="BT728" s="21"/>
      <c r="BU728" s="21"/>
      <c r="BV728" s="21"/>
      <c r="BW728" s="21"/>
      <c r="BX728" s="21"/>
      <c r="BY728" s="21"/>
      <c r="BZ728" s="21"/>
      <c r="CA728" s="21"/>
      <c r="CB728" s="21"/>
      <c r="CC728" s="21"/>
      <c r="CD728" s="21"/>
      <c r="CE728" s="21"/>
      <c r="CF728" s="21"/>
      <c r="CG728" s="21"/>
      <c r="CH728" s="21"/>
      <c r="CI728" s="21"/>
      <c r="CJ728" s="21"/>
      <c r="CK728" s="21"/>
      <c r="CL728" s="21"/>
      <c r="CM728" s="21"/>
      <c r="CN728" s="21"/>
      <c r="CO728" s="21"/>
      <c r="CP728" s="21"/>
      <c r="CQ728" s="21"/>
      <c r="CR728" s="21"/>
      <c r="CS728" s="21"/>
      <c r="CT728" s="21"/>
      <c r="CU728" s="21"/>
      <c r="CV728" s="21"/>
      <c r="CW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21"/>
      <c r="BT729" s="21"/>
      <c r="BU729" s="21"/>
      <c r="BV729" s="21"/>
      <c r="BW729" s="21"/>
      <c r="BX729" s="21"/>
      <c r="BY729" s="21"/>
      <c r="BZ729" s="21"/>
      <c r="CA729" s="21"/>
      <c r="CB729" s="21"/>
      <c r="CC729" s="21"/>
      <c r="CD729" s="21"/>
      <c r="CE729" s="21"/>
      <c r="CF729" s="21"/>
      <c r="CG729" s="21"/>
      <c r="CH729" s="21"/>
      <c r="CI729" s="21"/>
      <c r="CJ729" s="21"/>
      <c r="CK729" s="21"/>
      <c r="CL729" s="21"/>
      <c r="CM729" s="21"/>
      <c r="CN729" s="21"/>
      <c r="CO729" s="21"/>
      <c r="CP729" s="21"/>
      <c r="CQ729" s="21"/>
      <c r="CR729" s="21"/>
      <c r="CS729" s="21"/>
      <c r="CT729" s="21"/>
      <c r="CU729" s="21"/>
      <c r="CV729" s="21"/>
      <c r="CW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21"/>
      <c r="BT730" s="21"/>
      <c r="BU730" s="21"/>
      <c r="BV730" s="21"/>
      <c r="BW730" s="21"/>
      <c r="BX730" s="21"/>
      <c r="BY730" s="21"/>
      <c r="BZ730" s="21"/>
      <c r="CA730" s="21"/>
      <c r="CB730" s="21"/>
      <c r="CC730" s="21"/>
      <c r="CD730" s="21"/>
      <c r="CE730" s="21"/>
      <c r="CF730" s="21"/>
      <c r="CG730" s="21"/>
      <c r="CH730" s="21"/>
      <c r="CI730" s="21"/>
      <c r="CJ730" s="21"/>
      <c r="CK730" s="21"/>
      <c r="CL730" s="21"/>
      <c r="CM730" s="21"/>
      <c r="CN730" s="21"/>
      <c r="CO730" s="21"/>
      <c r="CP730" s="21"/>
      <c r="CQ730" s="21"/>
      <c r="CR730" s="21"/>
      <c r="CS730" s="21"/>
      <c r="CT730" s="21"/>
      <c r="CU730" s="21"/>
      <c r="CV730" s="21"/>
      <c r="CW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21"/>
      <c r="BT731" s="21"/>
      <c r="BU731" s="21"/>
      <c r="BV731" s="21"/>
      <c r="BW731" s="21"/>
      <c r="BX731" s="21"/>
      <c r="BY731" s="21"/>
      <c r="BZ731" s="21"/>
      <c r="CA731" s="21"/>
      <c r="CB731" s="21"/>
      <c r="CC731" s="21"/>
      <c r="CD731" s="21"/>
      <c r="CE731" s="21"/>
      <c r="CF731" s="21"/>
      <c r="CG731" s="21"/>
      <c r="CH731" s="21"/>
      <c r="CI731" s="21"/>
      <c r="CJ731" s="21"/>
      <c r="CK731" s="21"/>
      <c r="CL731" s="21"/>
      <c r="CM731" s="21"/>
      <c r="CN731" s="21"/>
      <c r="CO731" s="21"/>
      <c r="CP731" s="21"/>
      <c r="CQ731" s="21"/>
      <c r="CR731" s="21"/>
      <c r="CS731" s="21"/>
      <c r="CT731" s="21"/>
      <c r="CU731" s="21"/>
      <c r="CV731" s="21"/>
      <c r="CW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21"/>
      <c r="BT732" s="21"/>
      <c r="BU732" s="21"/>
      <c r="BV732" s="21"/>
      <c r="BW732" s="21"/>
      <c r="BX732" s="21"/>
      <c r="BY732" s="21"/>
      <c r="BZ732" s="21"/>
      <c r="CA732" s="21"/>
      <c r="CB732" s="21"/>
      <c r="CC732" s="21"/>
      <c r="CD732" s="21"/>
      <c r="CE732" s="21"/>
      <c r="CF732" s="21"/>
      <c r="CG732" s="21"/>
      <c r="CH732" s="21"/>
      <c r="CI732" s="21"/>
      <c r="CJ732" s="21"/>
      <c r="CK732" s="21"/>
      <c r="CL732" s="21"/>
      <c r="CM732" s="21"/>
      <c r="CN732" s="21"/>
      <c r="CO732" s="21"/>
      <c r="CP732" s="21"/>
      <c r="CQ732" s="21"/>
      <c r="CR732" s="21"/>
      <c r="CS732" s="21"/>
      <c r="CT732" s="21"/>
      <c r="CU732" s="21"/>
      <c r="CV732" s="21"/>
      <c r="CW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21"/>
      <c r="BT733" s="21"/>
      <c r="BU733" s="21"/>
      <c r="BV733" s="21"/>
      <c r="BW733" s="21"/>
      <c r="BX733" s="21"/>
      <c r="BY733" s="21"/>
      <c r="BZ733" s="21"/>
      <c r="CA733" s="21"/>
      <c r="CB733" s="21"/>
      <c r="CC733" s="21"/>
      <c r="CD733" s="21"/>
      <c r="CE733" s="21"/>
      <c r="CF733" s="21"/>
      <c r="CG733" s="21"/>
      <c r="CH733" s="21"/>
      <c r="CI733" s="21"/>
      <c r="CJ733" s="21"/>
      <c r="CK733" s="21"/>
      <c r="CL733" s="21"/>
      <c r="CM733" s="21"/>
      <c r="CN733" s="21"/>
      <c r="CO733" s="21"/>
      <c r="CP733" s="21"/>
      <c r="CQ733" s="21"/>
      <c r="CR733" s="21"/>
      <c r="CS733" s="21"/>
      <c r="CT733" s="21"/>
      <c r="CU733" s="21"/>
      <c r="CV733" s="21"/>
      <c r="CW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21"/>
      <c r="BT734" s="21"/>
      <c r="BU734" s="21"/>
      <c r="BV734" s="21"/>
      <c r="BW734" s="21"/>
      <c r="BX734" s="21"/>
      <c r="BY734" s="21"/>
      <c r="BZ734" s="21"/>
      <c r="CA734" s="21"/>
      <c r="CB734" s="21"/>
      <c r="CC734" s="21"/>
      <c r="CD734" s="21"/>
      <c r="CE734" s="21"/>
      <c r="CF734" s="21"/>
      <c r="CG734" s="21"/>
      <c r="CH734" s="21"/>
      <c r="CI734" s="21"/>
      <c r="CJ734" s="21"/>
      <c r="CK734" s="21"/>
      <c r="CL734" s="21"/>
      <c r="CM734" s="21"/>
      <c r="CN734" s="21"/>
      <c r="CO734" s="21"/>
      <c r="CP734" s="21"/>
      <c r="CQ734" s="21"/>
      <c r="CR734" s="21"/>
      <c r="CS734" s="21"/>
      <c r="CT734" s="21"/>
      <c r="CU734" s="21"/>
      <c r="CV734" s="21"/>
      <c r="CW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21"/>
      <c r="BT735" s="21"/>
      <c r="BU735" s="21"/>
      <c r="BV735" s="21"/>
      <c r="BW735" s="21"/>
      <c r="BX735" s="21"/>
      <c r="BY735" s="21"/>
      <c r="BZ735" s="21"/>
      <c r="CA735" s="21"/>
      <c r="CB735" s="21"/>
      <c r="CC735" s="21"/>
      <c r="CD735" s="21"/>
      <c r="CE735" s="21"/>
      <c r="CF735" s="21"/>
      <c r="CG735" s="21"/>
      <c r="CH735" s="21"/>
      <c r="CI735" s="21"/>
      <c r="CJ735" s="21"/>
      <c r="CK735" s="21"/>
      <c r="CL735" s="21"/>
      <c r="CM735" s="21"/>
      <c r="CN735" s="21"/>
      <c r="CO735" s="21"/>
      <c r="CP735" s="21"/>
      <c r="CQ735" s="21"/>
      <c r="CR735" s="21"/>
      <c r="CS735" s="21"/>
      <c r="CT735" s="21"/>
      <c r="CU735" s="21"/>
      <c r="CV735" s="21"/>
      <c r="CW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21"/>
      <c r="BT736" s="21"/>
      <c r="BU736" s="21"/>
      <c r="BV736" s="21"/>
      <c r="BW736" s="21"/>
      <c r="BX736" s="21"/>
      <c r="BY736" s="21"/>
      <c r="BZ736" s="21"/>
      <c r="CA736" s="21"/>
      <c r="CB736" s="21"/>
      <c r="CC736" s="21"/>
      <c r="CD736" s="21"/>
      <c r="CE736" s="21"/>
      <c r="CF736" s="21"/>
      <c r="CG736" s="21"/>
      <c r="CH736" s="21"/>
      <c r="CI736" s="21"/>
      <c r="CJ736" s="21"/>
      <c r="CK736" s="21"/>
      <c r="CL736" s="21"/>
      <c r="CM736" s="21"/>
      <c r="CN736" s="21"/>
      <c r="CO736" s="21"/>
      <c r="CP736" s="21"/>
      <c r="CQ736" s="21"/>
      <c r="CR736" s="21"/>
      <c r="CS736" s="21"/>
      <c r="CT736" s="21"/>
      <c r="CU736" s="21"/>
      <c r="CV736" s="21"/>
      <c r="CW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21"/>
      <c r="BT737" s="21"/>
      <c r="BU737" s="21"/>
      <c r="BV737" s="21"/>
      <c r="BW737" s="21"/>
      <c r="BX737" s="21"/>
      <c r="BY737" s="21"/>
      <c r="BZ737" s="21"/>
      <c r="CA737" s="21"/>
      <c r="CB737" s="21"/>
      <c r="CC737" s="21"/>
      <c r="CD737" s="21"/>
      <c r="CE737" s="21"/>
      <c r="CF737" s="21"/>
      <c r="CG737" s="21"/>
      <c r="CH737" s="21"/>
      <c r="CI737" s="21"/>
      <c r="CJ737" s="21"/>
      <c r="CK737" s="21"/>
      <c r="CL737" s="21"/>
      <c r="CM737" s="21"/>
      <c r="CN737" s="21"/>
      <c r="CO737" s="21"/>
      <c r="CP737" s="21"/>
      <c r="CQ737" s="21"/>
      <c r="CR737" s="21"/>
      <c r="CS737" s="21"/>
      <c r="CT737" s="21"/>
      <c r="CU737" s="21"/>
      <c r="CV737" s="21"/>
      <c r="CW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21"/>
      <c r="BT738" s="21"/>
      <c r="BU738" s="21"/>
      <c r="BV738" s="21"/>
      <c r="BW738" s="21"/>
      <c r="BX738" s="21"/>
      <c r="BY738" s="21"/>
      <c r="BZ738" s="21"/>
      <c r="CA738" s="21"/>
      <c r="CB738" s="21"/>
      <c r="CC738" s="21"/>
      <c r="CD738" s="21"/>
      <c r="CE738" s="21"/>
      <c r="CF738" s="21"/>
      <c r="CG738" s="21"/>
      <c r="CH738" s="21"/>
      <c r="CI738" s="21"/>
      <c r="CJ738" s="21"/>
      <c r="CK738" s="21"/>
      <c r="CL738" s="21"/>
      <c r="CM738" s="21"/>
      <c r="CN738" s="21"/>
      <c r="CO738" s="21"/>
      <c r="CP738" s="21"/>
      <c r="CQ738" s="21"/>
      <c r="CR738" s="21"/>
      <c r="CS738" s="21"/>
      <c r="CT738" s="21"/>
      <c r="CU738" s="21"/>
      <c r="CV738" s="21"/>
      <c r="CW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21"/>
      <c r="BT739" s="21"/>
      <c r="BU739" s="21"/>
      <c r="BV739" s="21"/>
      <c r="BW739" s="21"/>
      <c r="BX739" s="21"/>
      <c r="BY739" s="21"/>
      <c r="BZ739" s="21"/>
      <c r="CA739" s="21"/>
      <c r="CB739" s="21"/>
      <c r="CC739" s="21"/>
      <c r="CD739" s="21"/>
      <c r="CE739" s="21"/>
      <c r="CF739" s="21"/>
      <c r="CG739" s="21"/>
      <c r="CH739" s="21"/>
      <c r="CI739" s="21"/>
      <c r="CJ739" s="21"/>
      <c r="CK739" s="21"/>
      <c r="CL739" s="21"/>
      <c r="CM739" s="21"/>
      <c r="CN739" s="21"/>
      <c r="CO739" s="21"/>
      <c r="CP739" s="21"/>
      <c r="CQ739" s="21"/>
      <c r="CR739" s="21"/>
      <c r="CS739" s="21"/>
      <c r="CT739" s="21"/>
      <c r="CU739" s="21"/>
      <c r="CV739" s="21"/>
      <c r="CW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21"/>
      <c r="BT740" s="21"/>
      <c r="BU740" s="21"/>
      <c r="BV740" s="21"/>
      <c r="BW740" s="21"/>
      <c r="BX740" s="21"/>
      <c r="BY740" s="21"/>
      <c r="BZ740" s="21"/>
      <c r="CA740" s="21"/>
      <c r="CB740" s="21"/>
      <c r="CC740" s="21"/>
      <c r="CD740" s="21"/>
      <c r="CE740" s="21"/>
      <c r="CF740" s="21"/>
      <c r="CG740" s="21"/>
      <c r="CH740" s="21"/>
      <c r="CI740" s="21"/>
      <c r="CJ740" s="21"/>
      <c r="CK740" s="21"/>
      <c r="CL740" s="21"/>
      <c r="CM740" s="21"/>
      <c r="CN740" s="21"/>
      <c r="CO740" s="21"/>
      <c r="CP740" s="21"/>
      <c r="CQ740" s="21"/>
      <c r="CR740" s="21"/>
      <c r="CS740" s="21"/>
      <c r="CT740" s="21"/>
      <c r="CU740" s="21"/>
      <c r="CV740" s="21"/>
      <c r="CW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21"/>
      <c r="BT741" s="21"/>
      <c r="BU741" s="21"/>
      <c r="BV741" s="21"/>
      <c r="BW741" s="21"/>
      <c r="BX741" s="21"/>
      <c r="BY741" s="21"/>
      <c r="BZ741" s="21"/>
      <c r="CA741" s="21"/>
      <c r="CB741" s="21"/>
      <c r="CC741" s="21"/>
      <c r="CD741" s="21"/>
      <c r="CE741" s="21"/>
      <c r="CF741" s="21"/>
      <c r="CG741" s="21"/>
      <c r="CH741" s="21"/>
      <c r="CI741" s="21"/>
      <c r="CJ741" s="21"/>
      <c r="CK741" s="21"/>
      <c r="CL741" s="21"/>
      <c r="CM741" s="21"/>
      <c r="CN741" s="21"/>
      <c r="CO741" s="21"/>
      <c r="CP741" s="21"/>
      <c r="CQ741" s="21"/>
      <c r="CR741" s="21"/>
      <c r="CS741" s="21"/>
      <c r="CT741" s="21"/>
      <c r="CU741" s="21"/>
      <c r="CV741" s="21"/>
      <c r="CW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21"/>
      <c r="BT742" s="21"/>
      <c r="BU742" s="21"/>
      <c r="BV742" s="21"/>
      <c r="BW742" s="21"/>
      <c r="BX742" s="21"/>
      <c r="BY742" s="21"/>
      <c r="BZ742" s="21"/>
      <c r="CA742" s="21"/>
      <c r="CB742" s="21"/>
      <c r="CC742" s="21"/>
      <c r="CD742" s="21"/>
      <c r="CE742" s="21"/>
      <c r="CF742" s="21"/>
      <c r="CG742" s="21"/>
      <c r="CH742" s="21"/>
      <c r="CI742" s="21"/>
      <c r="CJ742" s="21"/>
      <c r="CK742" s="21"/>
      <c r="CL742" s="21"/>
      <c r="CM742" s="21"/>
      <c r="CN742" s="21"/>
      <c r="CO742" s="21"/>
      <c r="CP742" s="21"/>
      <c r="CQ742" s="21"/>
      <c r="CR742" s="21"/>
      <c r="CS742" s="21"/>
      <c r="CT742" s="21"/>
      <c r="CU742" s="21"/>
      <c r="CV742" s="21"/>
      <c r="CW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21"/>
      <c r="BT743" s="21"/>
      <c r="BU743" s="21"/>
      <c r="BV743" s="21"/>
      <c r="BW743" s="21"/>
      <c r="BX743" s="21"/>
      <c r="BY743" s="21"/>
      <c r="BZ743" s="21"/>
      <c r="CA743" s="21"/>
      <c r="CB743" s="21"/>
      <c r="CC743" s="21"/>
      <c r="CD743" s="21"/>
      <c r="CE743" s="21"/>
      <c r="CF743" s="21"/>
      <c r="CG743" s="21"/>
      <c r="CH743" s="21"/>
      <c r="CI743" s="21"/>
      <c r="CJ743" s="21"/>
      <c r="CK743" s="21"/>
      <c r="CL743" s="21"/>
      <c r="CM743" s="21"/>
      <c r="CN743" s="21"/>
      <c r="CO743" s="21"/>
      <c r="CP743" s="21"/>
      <c r="CQ743" s="21"/>
      <c r="CR743" s="21"/>
      <c r="CS743" s="21"/>
      <c r="CT743" s="21"/>
      <c r="CU743" s="21"/>
      <c r="CV743" s="21"/>
      <c r="CW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21"/>
      <c r="BT744" s="21"/>
      <c r="BU744" s="21"/>
      <c r="BV744" s="21"/>
      <c r="BW744" s="21"/>
      <c r="BX744" s="21"/>
      <c r="BY744" s="21"/>
      <c r="BZ744" s="21"/>
      <c r="CA744" s="21"/>
      <c r="CB744" s="21"/>
      <c r="CC744" s="21"/>
      <c r="CD744" s="21"/>
      <c r="CE744" s="21"/>
      <c r="CF744" s="21"/>
      <c r="CG744" s="21"/>
      <c r="CH744" s="21"/>
      <c r="CI744" s="21"/>
      <c r="CJ744" s="21"/>
      <c r="CK744" s="21"/>
      <c r="CL744" s="21"/>
      <c r="CM744" s="21"/>
      <c r="CN744" s="21"/>
      <c r="CO744" s="21"/>
      <c r="CP744" s="21"/>
      <c r="CQ744" s="21"/>
      <c r="CR744" s="21"/>
      <c r="CS744" s="21"/>
      <c r="CT744" s="21"/>
      <c r="CU744" s="21"/>
      <c r="CV744" s="21"/>
      <c r="CW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21"/>
      <c r="BT745" s="21"/>
      <c r="BU745" s="21"/>
      <c r="BV745" s="21"/>
      <c r="BW745" s="21"/>
      <c r="BX745" s="21"/>
      <c r="BY745" s="21"/>
      <c r="BZ745" s="21"/>
      <c r="CA745" s="21"/>
      <c r="CB745" s="21"/>
      <c r="CC745" s="21"/>
      <c r="CD745" s="21"/>
      <c r="CE745" s="21"/>
      <c r="CF745" s="21"/>
      <c r="CG745" s="21"/>
      <c r="CH745" s="21"/>
      <c r="CI745" s="21"/>
      <c r="CJ745" s="21"/>
      <c r="CK745" s="21"/>
      <c r="CL745" s="21"/>
      <c r="CM745" s="21"/>
      <c r="CN745" s="21"/>
      <c r="CO745" s="21"/>
      <c r="CP745" s="21"/>
      <c r="CQ745" s="21"/>
      <c r="CR745" s="21"/>
      <c r="CS745" s="21"/>
      <c r="CT745" s="21"/>
      <c r="CU745" s="21"/>
      <c r="CV745" s="21"/>
      <c r="CW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21"/>
      <c r="BT746" s="21"/>
      <c r="BU746" s="21"/>
      <c r="BV746" s="21"/>
      <c r="BW746" s="21"/>
      <c r="BX746" s="21"/>
      <c r="BY746" s="21"/>
      <c r="BZ746" s="21"/>
      <c r="CA746" s="21"/>
      <c r="CB746" s="21"/>
      <c r="CC746" s="21"/>
      <c r="CD746" s="21"/>
      <c r="CE746" s="21"/>
      <c r="CF746" s="21"/>
      <c r="CG746" s="21"/>
      <c r="CH746" s="21"/>
      <c r="CI746" s="21"/>
      <c r="CJ746" s="21"/>
      <c r="CK746" s="21"/>
      <c r="CL746" s="21"/>
      <c r="CM746" s="21"/>
      <c r="CN746" s="21"/>
      <c r="CO746" s="21"/>
      <c r="CP746" s="21"/>
      <c r="CQ746" s="21"/>
      <c r="CR746" s="21"/>
      <c r="CS746" s="21"/>
      <c r="CT746" s="21"/>
      <c r="CU746" s="21"/>
      <c r="CV746" s="21"/>
      <c r="CW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21"/>
      <c r="BT747" s="21"/>
      <c r="BU747" s="21"/>
      <c r="BV747" s="21"/>
      <c r="BW747" s="21"/>
      <c r="BX747" s="21"/>
      <c r="BY747" s="21"/>
      <c r="BZ747" s="21"/>
      <c r="CA747" s="21"/>
      <c r="CB747" s="21"/>
      <c r="CC747" s="21"/>
      <c r="CD747" s="21"/>
      <c r="CE747" s="21"/>
      <c r="CF747" s="21"/>
      <c r="CG747" s="21"/>
      <c r="CH747" s="21"/>
      <c r="CI747" s="21"/>
      <c r="CJ747" s="21"/>
      <c r="CK747" s="21"/>
      <c r="CL747" s="21"/>
      <c r="CM747" s="21"/>
      <c r="CN747" s="21"/>
      <c r="CO747" s="21"/>
      <c r="CP747" s="21"/>
      <c r="CQ747" s="21"/>
      <c r="CR747" s="21"/>
      <c r="CS747" s="21"/>
      <c r="CT747" s="21"/>
      <c r="CU747" s="21"/>
      <c r="CV747" s="21"/>
      <c r="CW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21"/>
      <c r="BT748" s="21"/>
      <c r="BU748" s="21"/>
      <c r="BV748" s="21"/>
      <c r="BW748" s="21"/>
      <c r="BX748" s="21"/>
      <c r="BY748" s="21"/>
      <c r="BZ748" s="21"/>
      <c r="CA748" s="21"/>
      <c r="CB748" s="21"/>
      <c r="CC748" s="21"/>
      <c r="CD748" s="21"/>
      <c r="CE748" s="21"/>
      <c r="CF748" s="21"/>
      <c r="CG748" s="21"/>
      <c r="CH748" s="21"/>
      <c r="CI748" s="21"/>
      <c r="CJ748" s="21"/>
      <c r="CK748" s="21"/>
      <c r="CL748" s="21"/>
      <c r="CM748" s="21"/>
      <c r="CN748" s="21"/>
      <c r="CO748" s="21"/>
      <c r="CP748" s="21"/>
      <c r="CQ748" s="21"/>
      <c r="CR748" s="21"/>
      <c r="CS748" s="21"/>
      <c r="CT748" s="21"/>
      <c r="CU748" s="21"/>
      <c r="CV748" s="21"/>
      <c r="CW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21"/>
      <c r="BT749" s="21"/>
      <c r="BU749" s="21"/>
      <c r="BV749" s="21"/>
      <c r="BW749" s="21"/>
      <c r="BX749" s="21"/>
      <c r="BY749" s="21"/>
      <c r="BZ749" s="21"/>
      <c r="CA749" s="21"/>
      <c r="CB749" s="21"/>
      <c r="CC749" s="21"/>
      <c r="CD749" s="21"/>
      <c r="CE749" s="21"/>
      <c r="CF749" s="21"/>
      <c r="CG749" s="21"/>
      <c r="CH749" s="21"/>
      <c r="CI749" s="21"/>
      <c r="CJ749" s="21"/>
      <c r="CK749" s="21"/>
      <c r="CL749" s="21"/>
      <c r="CM749" s="21"/>
      <c r="CN749" s="21"/>
      <c r="CO749" s="21"/>
      <c r="CP749" s="21"/>
      <c r="CQ749" s="21"/>
      <c r="CR749" s="21"/>
      <c r="CS749" s="21"/>
      <c r="CT749" s="21"/>
      <c r="CU749" s="21"/>
      <c r="CV749" s="21"/>
      <c r="CW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21"/>
      <c r="BT750" s="21"/>
      <c r="BU750" s="21"/>
      <c r="BV750" s="21"/>
      <c r="BW750" s="21"/>
      <c r="BX750" s="21"/>
      <c r="BY750" s="21"/>
      <c r="BZ750" s="21"/>
      <c r="CA750" s="21"/>
      <c r="CB750" s="21"/>
      <c r="CC750" s="21"/>
      <c r="CD750" s="21"/>
      <c r="CE750" s="21"/>
      <c r="CF750" s="21"/>
      <c r="CG750" s="21"/>
      <c r="CH750" s="21"/>
      <c r="CI750" s="21"/>
      <c r="CJ750" s="21"/>
      <c r="CK750" s="21"/>
      <c r="CL750" s="21"/>
      <c r="CM750" s="21"/>
      <c r="CN750" s="21"/>
      <c r="CO750" s="21"/>
      <c r="CP750" s="21"/>
      <c r="CQ750" s="21"/>
      <c r="CR750" s="21"/>
      <c r="CS750" s="21"/>
      <c r="CT750" s="21"/>
      <c r="CU750" s="21"/>
      <c r="CV750" s="21"/>
      <c r="CW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21"/>
      <c r="BT751" s="21"/>
      <c r="BU751" s="21"/>
      <c r="BV751" s="21"/>
      <c r="BW751" s="21"/>
      <c r="BX751" s="21"/>
      <c r="BY751" s="21"/>
      <c r="BZ751" s="21"/>
      <c r="CA751" s="21"/>
      <c r="CB751" s="21"/>
      <c r="CC751" s="21"/>
      <c r="CD751" s="21"/>
      <c r="CE751" s="21"/>
      <c r="CF751" s="21"/>
      <c r="CG751" s="21"/>
      <c r="CH751" s="21"/>
      <c r="CI751" s="21"/>
      <c r="CJ751" s="21"/>
      <c r="CK751" s="21"/>
      <c r="CL751" s="21"/>
      <c r="CM751" s="21"/>
      <c r="CN751" s="21"/>
      <c r="CO751" s="21"/>
      <c r="CP751" s="21"/>
      <c r="CQ751" s="21"/>
      <c r="CR751" s="21"/>
      <c r="CS751" s="21"/>
      <c r="CT751" s="21"/>
      <c r="CU751" s="21"/>
      <c r="CV751" s="21"/>
      <c r="CW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21"/>
      <c r="BT752" s="21"/>
      <c r="BU752" s="21"/>
      <c r="BV752" s="21"/>
      <c r="BW752" s="21"/>
      <c r="BX752" s="21"/>
      <c r="BY752" s="21"/>
      <c r="BZ752" s="21"/>
      <c r="CA752" s="21"/>
      <c r="CB752" s="21"/>
      <c r="CC752" s="21"/>
      <c r="CD752" s="21"/>
      <c r="CE752" s="21"/>
      <c r="CF752" s="21"/>
      <c r="CG752" s="21"/>
      <c r="CH752" s="21"/>
      <c r="CI752" s="21"/>
      <c r="CJ752" s="21"/>
      <c r="CK752" s="21"/>
      <c r="CL752" s="21"/>
      <c r="CM752" s="21"/>
      <c r="CN752" s="21"/>
      <c r="CO752" s="21"/>
      <c r="CP752" s="21"/>
      <c r="CQ752" s="21"/>
      <c r="CR752" s="21"/>
      <c r="CS752" s="21"/>
      <c r="CT752" s="21"/>
      <c r="CU752" s="21"/>
      <c r="CV752" s="21"/>
      <c r="CW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21"/>
      <c r="BT753" s="21"/>
      <c r="BU753" s="21"/>
      <c r="BV753" s="21"/>
      <c r="BW753" s="21"/>
      <c r="BX753" s="21"/>
      <c r="BY753" s="21"/>
      <c r="BZ753" s="21"/>
      <c r="CA753" s="21"/>
      <c r="CB753" s="21"/>
      <c r="CC753" s="21"/>
      <c r="CD753" s="21"/>
      <c r="CE753" s="21"/>
      <c r="CF753" s="21"/>
      <c r="CG753" s="21"/>
      <c r="CH753" s="21"/>
      <c r="CI753" s="21"/>
      <c r="CJ753" s="21"/>
      <c r="CK753" s="21"/>
      <c r="CL753" s="21"/>
      <c r="CM753" s="21"/>
      <c r="CN753" s="21"/>
      <c r="CO753" s="21"/>
      <c r="CP753" s="21"/>
      <c r="CQ753" s="21"/>
      <c r="CR753" s="21"/>
      <c r="CS753" s="21"/>
      <c r="CT753" s="21"/>
      <c r="CU753" s="21"/>
      <c r="CV753" s="21"/>
      <c r="CW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21"/>
      <c r="BT754" s="21"/>
      <c r="BU754" s="21"/>
      <c r="BV754" s="21"/>
      <c r="BW754" s="21"/>
      <c r="BX754" s="21"/>
      <c r="BY754" s="21"/>
      <c r="BZ754" s="21"/>
      <c r="CA754" s="21"/>
      <c r="CB754" s="21"/>
      <c r="CC754" s="21"/>
      <c r="CD754" s="21"/>
      <c r="CE754" s="21"/>
      <c r="CF754" s="21"/>
      <c r="CG754" s="21"/>
      <c r="CH754" s="21"/>
      <c r="CI754" s="21"/>
      <c r="CJ754" s="21"/>
      <c r="CK754" s="21"/>
      <c r="CL754" s="21"/>
      <c r="CM754" s="21"/>
      <c r="CN754" s="21"/>
      <c r="CO754" s="21"/>
      <c r="CP754" s="21"/>
      <c r="CQ754" s="21"/>
      <c r="CR754" s="21"/>
      <c r="CS754" s="21"/>
      <c r="CT754" s="21"/>
      <c r="CU754" s="21"/>
      <c r="CV754" s="21"/>
      <c r="CW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21"/>
      <c r="BT755" s="21"/>
      <c r="BU755" s="21"/>
      <c r="BV755" s="21"/>
      <c r="BW755" s="21"/>
      <c r="BX755" s="21"/>
      <c r="BY755" s="21"/>
      <c r="BZ755" s="21"/>
      <c r="CA755" s="21"/>
      <c r="CB755" s="21"/>
      <c r="CC755" s="21"/>
      <c r="CD755" s="21"/>
      <c r="CE755" s="21"/>
      <c r="CF755" s="21"/>
      <c r="CG755" s="21"/>
      <c r="CH755" s="21"/>
      <c r="CI755" s="21"/>
      <c r="CJ755" s="21"/>
      <c r="CK755" s="21"/>
      <c r="CL755" s="21"/>
      <c r="CM755" s="21"/>
      <c r="CN755" s="21"/>
      <c r="CO755" s="21"/>
      <c r="CP755" s="21"/>
      <c r="CQ755" s="21"/>
      <c r="CR755" s="21"/>
      <c r="CS755" s="21"/>
      <c r="CT755" s="21"/>
      <c r="CU755" s="21"/>
      <c r="CV755" s="21"/>
      <c r="CW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21"/>
      <c r="BT756" s="21"/>
      <c r="BU756" s="21"/>
      <c r="BV756" s="21"/>
      <c r="BW756" s="21"/>
      <c r="BX756" s="21"/>
      <c r="BY756" s="21"/>
      <c r="BZ756" s="21"/>
      <c r="CA756" s="21"/>
      <c r="CB756" s="21"/>
      <c r="CC756" s="21"/>
      <c r="CD756" s="21"/>
      <c r="CE756" s="21"/>
      <c r="CF756" s="21"/>
      <c r="CG756" s="21"/>
      <c r="CH756" s="21"/>
      <c r="CI756" s="21"/>
      <c r="CJ756" s="21"/>
      <c r="CK756" s="21"/>
      <c r="CL756" s="21"/>
      <c r="CM756" s="21"/>
      <c r="CN756" s="21"/>
      <c r="CO756" s="21"/>
      <c r="CP756" s="21"/>
      <c r="CQ756" s="21"/>
      <c r="CR756" s="21"/>
      <c r="CS756" s="21"/>
      <c r="CT756" s="21"/>
      <c r="CU756" s="21"/>
      <c r="CV756" s="21"/>
      <c r="CW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21"/>
      <c r="BT757" s="21"/>
      <c r="BU757" s="21"/>
      <c r="BV757" s="21"/>
      <c r="BW757" s="21"/>
      <c r="BX757" s="21"/>
      <c r="BY757" s="21"/>
      <c r="BZ757" s="21"/>
      <c r="CA757" s="21"/>
      <c r="CB757" s="21"/>
      <c r="CC757" s="21"/>
      <c r="CD757" s="21"/>
      <c r="CE757" s="21"/>
      <c r="CF757" s="21"/>
      <c r="CG757" s="21"/>
      <c r="CH757" s="21"/>
      <c r="CI757" s="21"/>
      <c r="CJ757" s="21"/>
      <c r="CK757" s="21"/>
      <c r="CL757" s="21"/>
      <c r="CM757" s="21"/>
      <c r="CN757" s="21"/>
      <c r="CO757" s="21"/>
      <c r="CP757" s="21"/>
      <c r="CQ757" s="21"/>
      <c r="CR757" s="21"/>
      <c r="CS757" s="21"/>
      <c r="CT757" s="21"/>
      <c r="CU757" s="21"/>
      <c r="CV757" s="21"/>
      <c r="CW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21"/>
      <c r="BT758" s="21"/>
      <c r="BU758" s="21"/>
      <c r="BV758" s="21"/>
      <c r="BW758" s="21"/>
      <c r="BX758" s="21"/>
      <c r="BY758" s="21"/>
      <c r="BZ758" s="21"/>
      <c r="CA758" s="21"/>
      <c r="CB758" s="21"/>
      <c r="CC758" s="21"/>
      <c r="CD758" s="21"/>
      <c r="CE758" s="21"/>
      <c r="CF758" s="21"/>
      <c r="CG758" s="21"/>
      <c r="CH758" s="21"/>
      <c r="CI758" s="21"/>
      <c r="CJ758" s="21"/>
      <c r="CK758" s="21"/>
      <c r="CL758" s="21"/>
      <c r="CM758" s="21"/>
      <c r="CN758" s="21"/>
      <c r="CO758" s="21"/>
      <c r="CP758" s="21"/>
      <c r="CQ758" s="21"/>
      <c r="CR758" s="21"/>
      <c r="CS758" s="21"/>
      <c r="CT758" s="21"/>
      <c r="CU758" s="21"/>
      <c r="CV758" s="21"/>
      <c r="CW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21"/>
      <c r="BT759" s="21"/>
      <c r="BU759" s="21"/>
      <c r="BV759" s="21"/>
      <c r="BW759" s="21"/>
      <c r="BX759" s="21"/>
      <c r="BY759" s="21"/>
      <c r="BZ759" s="21"/>
      <c r="CA759" s="21"/>
      <c r="CB759" s="21"/>
      <c r="CC759" s="21"/>
      <c r="CD759" s="21"/>
      <c r="CE759" s="21"/>
      <c r="CF759" s="21"/>
      <c r="CG759" s="21"/>
      <c r="CH759" s="21"/>
      <c r="CI759" s="21"/>
      <c r="CJ759" s="21"/>
      <c r="CK759" s="21"/>
      <c r="CL759" s="21"/>
      <c r="CM759" s="21"/>
      <c r="CN759" s="21"/>
      <c r="CO759" s="21"/>
      <c r="CP759" s="21"/>
      <c r="CQ759" s="21"/>
      <c r="CR759" s="21"/>
      <c r="CS759" s="21"/>
      <c r="CT759" s="21"/>
      <c r="CU759" s="21"/>
      <c r="CV759" s="21"/>
      <c r="CW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21"/>
      <c r="BT760" s="21"/>
      <c r="BU760" s="21"/>
      <c r="BV760" s="21"/>
      <c r="BW760" s="21"/>
      <c r="BX760" s="21"/>
      <c r="BY760" s="21"/>
      <c r="BZ760" s="21"/>
      <c r="CA760" s="21"/>
      <c r="CB760" s="21"/>
      <c r="CC760" s="21"/>
      <c r="CD760" s="21"/>
      <c r="CE760" s="21"/>
      <c r="CF760" s="21"/>
      <c r="CG760" s="21"/>
      <c r="CH760" s="21"/>
      <c r="CI760" s="21"/>
      <c r="CJ760" s="21"/>
      <c r="CK760" s="21"/>
      <c r="CL760" s="21"/>
      <c r="CM760" s="21"/>
      <c r="CN760" s="21"/>
      <c r="CO760" s="21"/>
      <c r="CP760" s="21"/>
      <c r="CQ760" s="21"/>
      <c r="CR760" s="21"/>
      <c r="CS760" s="21"/>
      <c r="CT760" s="21"/>
      <c r="CU760" s="21"/>
      <c r="CV760" s="21"/>
      <c r="CW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21"/>
      <c r="BT761" s="21"/>
      <c r="BU761" s="21"/>
      <c r="BV761" s="21"/>
      <c r="BW761" s="21"/>
      <c r="BX761" s="21"/>
      <c r="BY761" s="21"/>
      <c r="BZ761" s="21"/>
      <c r="CA761" s="21"/>
      <c r="CB761" s="21"/>
      <c r="CC761" s="21"/>
      <c r="CD761" s="21"/>
      <c r="CE761" s="21"/>
      <c r="CF761" s="21"/>
      <c r="CG761" s="21"/>
      <c r="CH761" s="21"/>
      <c r="CI761" s="21"/>
      <c r="CJ761" s="21"/>
      <c r="CK761" s="21"/>
      <c r="CL761" s="21"/>
      <c r="CM761" s="21"/>
      <c r="CN761" s="21"/>
      <c r="CO761" s="21"/>
      <c r="CP761" s="21"/>
      <c r="CQ761" s="21"/>
      <c r="CR761" s="21"/>
      <c r="CS761" s="21"/>
      <c r="CT761" s="21"/>
      <c r="CU761" s="21"/>
      <c r="CV761" s="21"/>
      <c r="CW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21"/>
      <c r="BT762" s="21"/>
      <c r="BU762" s="21"/>
      <c r="BV762" s="21"/>
      <c r="BW762" s="21"/>
      <c r="BX762" s="21"/>
      <c r="BY762" s="21"/>
      <c r="BZ762" s="21"/>
      <c r="CA762" s="21"/>
      <c r="CB762" s="21"/>
      <c r="CC762" s="21"/>
      <c r="CD762" s="21"/>
      <c r="CE762" s="21"/>
      <c r="CF762" s="21"/>
      <c r="CG762" s="21"/>
      <c r="CH762" s="21"/>
      <c r="CI762" s="21"/>
      <c r="CJ762" s="21"/>
      <c r="CK762" s="21"/>
      <c r="CL762" s="21"/>
      <c r="CM762" s="21"/>
      <c r="CN762" s="21"/>
      <c r="CO762" s="21"/>
      <c r="CP762" s="21"/>
      <c r="CQ762" s="21"/>
      <c r="CR762" s="21"/>
      <c r="CS762" s="21"/>
      <c r="CT762" s="21"/>
      <c r="CU762" s="21"/>
      <c r="CV762" s="21"/>
      <c r="CW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21"/>
      <c r="BT763" s="21"/>
      <c r="BU763" s="21"/>
      <c r="BV763" s="21"/>
      <c r="BW763" s="21"/>
      <c r="BX763" s="21"/>
      <c r="BY763" s="21"/>
      <c r="BZ763" s="21"/>
      <c r="CA763" s="21"/>
      <c r="CB763" s="21"/>
      <c r="CC763" s="21"/>
      <c r="CD763" s="21"/>
      <c r="CE763" s="21"/>
      <c r="CF763" s="21"/>
      <c r="CG763" s="21"/>
      <c r="CH763" s="21"/>
      <c r="CI763" s="21"/>
      <c r="CJ763" s="21"/>
      <c r="CK763" s="21"/>
      <c r="CL763" s="21"/>
      <c r="CM763" s="21"/>
      <c r="CN763" s="21"/>
      <c r="CO763" s="21"/>
      <c r="CP763" s="21"/>
      <c r="CQ763" s="21"/>
      <c r="CR763" s="21"/>
      <c r="CS763" s="21"/>
      <c r="CT763" s="21"/>
      <c r="CU763" s="21"/>
      <c r="CV763" s="21"/>
      <c r="CW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21"/>
      <c r="BT764" s="21"/>
      <c r="BU764" s="21"/>
      <c r="BV764" s="21"/>
      <c r="BW764" s="21"/>
      <c r="BX764" s="21"/>
      <c r="BY764" s="21"/>
      <c r="BZ764" s="21"/>
      <c r="CA764" s="21"/>
      <c r="CB764" s="21"/>
      <c r="CC764" s="21"/>
      <c r="CD764" s="21"/>
      <c r="CE764" s="21"/>
      <c r="CF764" s="21"/>
      <c r="CG764" s="21"/>
      <c r="CH764" s="21"/>
      <c r="CI764" s="21"/>
      <c r="CJ764" s="21"/>
      <c r="CK764" s="21"/>
      <c r="CL764" s="21"/>
      <c r="CM764" s="21"/>
      <c r="CN764" s="21"/>
      <c r="CO764" s="21"/>
      <c r="CP764" s="21"/>
      <c r="CQ764" s="21"/>
      <c r="CR764" s="21"/>
      <c r="CS764" s="21"/>
      <c r="CT764" s="21"/>
      <c r="CU764" s="21"/>
      <c r="CV764" s="21"/>
      <c r="CW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21"/>
      <c r="BT765" s="21"/>
      <c r="BU765" s="21"/>
      <c r="BV765" s="21"/>
      <c r="BW765" s="21"/>
      <c r="BX765" s="21"/>
      <c r="BY765" s="21"/>
      <c r="BZ765" s="21"/>
      <c r="CA765" s="21"/>
      <c r="CB765" s="21"/>
      <c r="CC765" s="21"/>
      <c r="CD765" s="21"/>
      <c r="CE765" s="21"/>
      <c r="CF765" s="21"/>
      <c r="CG765" s="21"/>
      <c r="CH765" s="21"/>
      <c r="CI765" s="21"/>
      <c r="CJ765" s="21"/>
      <c r="CK765" s="21"/>
      <c r="CL765" s="21"/>
      <c r="CM765" s="21"/>
      <c r="CN765" s="21"/>
      <c r="CO765" s="21"/>
      <c r="CP765" s="21"/>
      <c r="CQ765" s="21"/>
      <c r="CR765" s="21"/>
      <c r="CS765" s="21"/>
      <c r="CT765" s="21"/>
      <c r="CU765" s="21"/>
      <c r="CV765" s="21"/>
      <c r="CW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21"/>
      <c r="BT766" s="21"/>
      <c r="BU766" s="21"/>
      <c r="BV766" s="21"/>
      <c r="BW766" s="21"/>
      <c r="BX766" s="21"/>
      <c r="BY766" s="21"/>
      <c r="BZ766" s="21"/>
      <c r="CA766" s="21"/>
      <c r="CB766" s="21"/>
      <c r="CC766" s="21"/>
      <c r="CD766" s="21"/>
      <c r="CE766" s="21"/>
      <c r="CF766" s="21"/>
      <c r="CG766" s="21"/>
      <c r="CH766" s="21"/>
      <c r="CI766" s="21"/>
      <c r="CJ766" s="21"/>
      <c r="CK766" s="21"/>
      <c r="CL766" s="21"/>
      <c r="CM766" s="21"/>
      <c r="CN766" s="21"/>
      <c r="CO766" s="21"/>
      <c r="CP766" s="21"/>
      <c r="CQ766" s="21"/>
      <c r="CR766" s="21"/>
      <c r="CS766" s="21"/>
      <c r="CT766" s="21"/>
      <c r="CU766" s="21"/>
      <c r="CV766" s="21"/>
      <c r="CW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21"/>
      <c r="BT767" s="21"/>
      <c r="BU767" s="21"/>
      <c r="BV767" s="21"/>
      <c r="BW767" s="21"/>
      <c r="BX767" s="21"/>
      <c r="BY767" s="21"/>
      <c r="BZ767" s="21"/>
      <c r="CA767" s="21"/>
      <c r="CB767" s="21"/>
      <c r="CC767" s="21"/>
      <c r="CD767" s="21"/>
      <c r="CE767" s="21"/>
      <c r="CF767" s="21"/>
      <c r="CG767" s="21"/>
      <c r="CH767" s="21"/>
      <c r="CI767" s="21"/>
      <c r="CJ767" s="21"/>
      <c r="CK767" s="21"/>
      <c r="CL767" s="21"/>
      <c r="CM767" s="21"/>
      <c r="CN767" s="21"/>
      <c r="CO767" s="21"/>
      <c r="CP767" s="21"/>
      <c r="CQ767" s="21"/>
      <c r="CR767" s="21"/>
      <c r="CS767" s="21"/>
      <c r="CT767" s="21"/>
      <c r="CU767" s="21"/>
      <c r="CV767" s="21"/>
      <c r="CW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21"/>
      <c r="BT768" s="21"/>
      <c r="BU768" s="21"/>
      <c r="BV768" s="21"/>
      <c r="BW768" s="21"/>
      <c r="BX768" s="21"/>
      <c r="BY768" s="21"/>
      <c r="BZ768" s="21"/>
      <c r="CA768" s="21"/>
      <c r="CB768" s="21"/>
      <c r="CC768" s="21"/>
      <c r="CD768" s="21"/>
      <c r="CE768" s="21"/>
      <c r="CF768" s="21"/>
      <c r="CG768" s="21"/>
      <c r="CH768" s="21"/>
      <c r="CI768" s="21"/>
      <c r="CJ768" s="21"/>
      <c r="CK768" s="21"/>
      <c r="CL768" s="21"/>
      <c r="CM768" s="21"/>
      <c r="CN768" s="21"/>
      <c r="CO768" s="21"/>
      <c r="CP768" s="21"/>
      <c r="CQ768" s="21"/>
      <c r="CR768" s="21"/>
      <c r="CS768" s="21"/>
      <c r="CT768" s="21"/>
      <c r="CU768" s="21"/>
      <c r="CV768" s="21"/>
      <c r="CW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21"/>
      <c r="BT769" s="21"/>
      <c r="BU769" s="21"/>
      <c r="BV769" s="21"/>
      <c r="BW769" s="21"/>
      <c r="BX769" s="21"/>
      <c r="BY769" s="21"/>
      <c r="BZ769" s="21"/>
      <c r="CA769" s="21"/>
      <c r="CB769" s="21"/>
      <c r="CC769" s="21"/>
      <c r="CD769" s="21"/>
      <c r="CE769" s="21"/>
      <c r="CF769" s="21"/>
      <c r="CG769" s="21"/>
      <c r="CH769" s="21"/>
      <c r="CI769" s="21"/>
      <c r="CJ769" s="21"/>
      <c r="CK769" s="21"/>
      <c r="CL769" s="21"/>
      <c r="CM769" s="21"/>
      <c r="CN769" s="21"/>
      <c r="CO769" s="21"/>
      <c r="CP769" s="21"/>
      <c r="CQ769" s="21"/>
      <c r="CR769" s="21"/>
      <c r="CS769" s="21"/>
      <c r="CT769" s="21"/>
      <c r="CU769" s="21"/>
      <c r="CV769" s="21"/>
      <c r="CW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21"/>
      <c r="BT770" s="21"/>
      <c r="BU770" s="21"/>
      <c r="BV770" s="21"/>
      <c r="BW770" s="21"/>
      <c r="BX770" s="21"/>
      <c r="BY770" s="21"/>
      <c r="BZ770" s="21"/>
      <c r="CA770" s="21"/>
      <c r="CB770" s="21"/>
      <c r="CC770" s="21"/>
      <c r="CD770" s="21"/>
      <c r="CE770" s="21"/>
      <c r="CF770" s="21"/>
      <c r="CG770" s="21"/>
      <c r="CH770" s="21"/>
      <c r="CI770" s="21"/>
      <c r="CJ770" s="21"/>
      <c r="CK770" s="21"/>
      <c r="CL770" s="21"/>
      <c r="CM770" s="21"/>
      <c r="CN770" s="21"/>
      <c r="CO770" s="21"/>
      <c r="CP770" s="21"/>
      <c r="CQ770" s="21"/>
      <c r="CR770" s="21"/>
      <c r="CS770" s="21"/>
      <c r="CT770" s="21"/>
      <c r="CU770" s="21"/>
      <c r="CV770" s="21"/>
      <c r="CW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21"/>
      <c r="BT771" s="21"/>
      <c r="BU771" s="21"/>
      <c r="BV771" s="21"/>
      <c r="BW771" s="21"/>
      <c r="BX771" s="21"/>
      <c r="BY771" s="21"/>
      <c r="BZ771" s="21"/>
      <c r="CA771" s="21"/>
      <c r="CB771" s="21"/>
      <c r="CC771" s="21"/>
      <c r="CD771" s="21"/>
      <c r="CE771" s="21"/>
      <c r="CF771" s="21"/>
      <c r="CG771" s="21"/>
      <c r="CH771" s="21"/>
      <c r="CI771" s="21"/>
      <c r="CJ771" s="21"/>
      <c r="CK771" s="21"/>
      <c r="CL771" s="21"/>
      <c r="CM771" s="21"/>
      <c r="CN771" s="21"/>
      <c r="CO771" s="21"/>
      <c r="CP771" s="21"/>
      <c r="CQ771" s="21"/>
      <c r="CR771" s="21"/>
      <c r="CS771" s="21"/>
      <c r="CT771" s="21"/>
      <c r="CU771" s="21"/>
      <c r="CV771" s="21"/>
      <c r="CW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21"/>
      <c r="BT772" s="21"/>
      <c r="BU772" s="21"/>
      <c r="BV772" s="21"/>
      <c r="BW772" s="21"/>
      <c r="BX772" s="21"/>
      <c r="BY772" s="21"/>
      <c r="BZ772" s="21"/>
      <c r="CA772" s="21"/>
      <c r="CB772" s="21"/>
      <c r="CC772" s="21"/>
      <c r="CD772" s="21"/>
      <c r="CE772" s="21"/>
      <c r="CF772" s="21"/>
      <c r="CG772" s="21"/>
      <c r="CH772" s="21"/>
      <c r="CI772" s="21"/>
      <c r="CJ772" s="21"/>
      <c r="CK772" s="21"/>
      <c r="CL772" s="21"/>
      <c r="CM772" s="21"/>
      <c r="CN772" s="21"/>
      <c r="CO772" s="21"/>
      <c r="CP772" s="21"/>
      <c r="CQ772" s="21"/>
      <c r="CR772" s="21"/>
      <c r="CS772" s="21"/>
      <c r="CT772" s="21"/>
      <c r="CU772" s="21"/>
      <c r="CV772" s="21"/>
      <c r="CW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21"/>
      <c r="BT773" s="21"/>
      <c r="BU773" s="21"/>
      <c r="BV773" s="21"/>
      <c r="BW773" s="21"/>
      <c r="BX773" s="21"/>
      <c r="BY773" s="21"/>
      <c r="BZ773" s="21"/>
      <c r="CA773" s="21"/>
      <c r="CB773" s="21"/>
      <c r="CC773" s="21"/>
      <c r="CD773" s="21"/>
      <c r="CE773" s="21"/>
      <c r="CF773" s="21"/>
      <c r="CG773" s="21"/>
      <c r="CH773" s="21"/>
      <c r="CI773" s="21"/>
      <c r="CJ773" s="21"/>
      <c r="CK773" s="21"/>
      <c r="CL773" s="21"/>
      <c r="CM773" s="21"/>
      <c r="CN773" s="21"/>
      <c r="CO773" s="21"/>
      <c r="CP773" s="21"/>
      <c r="CQ773" s="21"/>
      <c r="CR773" s="21"/>
      <c r="CS773" s="21"/>
      <c r="CT773" s="21"/>
      <c r="CU773" s="21"/>
      <c r="CV773" s="21"/>
      <c r="CW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21"/>
      <c r="BT774" s="21"/>
      <c r="BU774" s="21"/>
      <c r="BV774" s="21"/>
      <c r="BW774" s="21"/>
      <c r="BX774" s="21"/>
      <c r="BY774" s="21"/>
      <c r="BZ774" s="21"/>
      <c r="CA774" s="21"/>
      <c r="CB774" s="21"/>
      <c r="CC774" s="21"/>
      <c r="CD774" s="21"/>
      <c r="CE774" s="21"/>
      <c r="CF774" s="21"/>
      <c r="CG774" s="21"/>
      <c r="CH774" s="21"/>
      <c r="CI774" s="21"/>
      <c r="CJ774" s="21"/>
      <c r="CK774" s="21"/>
      <c r="CL774" s="21"/>
      <c r="CM774" s="21"/>
      <c r="CN774" s="21"/>
      <c r="CO774" s="21"/>
      <c r="CP774" s="21"/>
      <c r="CQ774" s="21"/>
      <c r="CR774" s="21"/>
      <c r="CS774" s="21"/>
      <c r="CT774" s="21"/>
      <c r="CU774" s="21"/>
      <c r="CV774" s="21"/>
      <c r="CW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21"/>
      <c r="BT775" s="21"/>
      <c r="BU775" s="21"/>
      <c r="BV775" s="21"/>
      <c r="BW775" s="21"/>
      <c r="BX775" s="21"/>
      <c r="BY775" s="21"/>
      <c r="BZ775" s="21"/>
      <c r="CA775" s="21"/>
      <c r="CB775" s="21"/>
      <c r="CC775" s="21"/>
      <c r="CD775" s="21"/>
      <c r="CE775" s="21"/>
      <c r="CF775" s="21"/>
      <c r="CG775" s="21"/>
      <c r="CH775" s="21"/>
      <c r="CI775" s="21"/>
      <c r="CJ775" s="21"/>
      <c r="CK775" s="21"/>
      <c r="CL775" s="21"/>
      <c r="CM775" s="21"/>
      <c r="CN775" s="21"/>
      <c r="CO775" s="21"/>
      <c r="CP775" s="21"/>
      <c r="CQ775" s="21"/>
      <c r="CR775" s="21"/>
      <c r="CS775" s="21"/>
      <c r="CT775" s="21"/>
      <c r="CU775" s="21"/>
      <c r="CV775" s="21"/>
      <c r="CW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21"/>
      <c r="BT776" s="21"/>
      <c r="BU776" s="21"/>
      <c r="BV776" s="21"/>
      <c r="BW776" s="21"/>
      <c r="BX776" s="21"/>
      <c r="BY776" s="21"/>
      <c r="BZ776" s="21"/>
      <c r="CA776" s="21"/>
      <c r="CB776" s="21"/>
      <c r="CC776" s="21"/>
      <c r="CD776" s="21"/>
      <c r="CE776" s="21"/>
      <c r="CF776" s="21"/>
      <c r="CG776" s="21"/>
      <c r="CH776" s="21"/>
      <c r="CI776" s="21"/>
      <c r="CJ776" s="21"/>
      <c r="CK776" s="21"/>
      <c r="CL776" s="21"/>
      <c r="CM776" s="21"/>
      <c r="CN776" s="21"/>
      <c r="CO776" s="21"/>
      <c r="CP776" s="21"/>
      <c r="CQ776" s="21"/>
      <c r="CR776" s="21"/>
      <c r="CS776" s="21"/>
      <c r="CT776" s="21"/>
      <c r="CU776" s="21"/>
      <c r="CV776" s="21"/>
      <c r="CW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21"/>
      <c r="BT777" s="21"/>
      <c r="BU777" s="21"/>
      <c r="BV777" s="21"/>
      <c r="BW777" s="21"/>
      <c r="BX777" s="21"/>
      <c r="BY777" s="21"/>
      <c r="BZ777" s="21"/>
      <c r="CA777" s="21"/>
      <c r="CB777" s="21"/>
      <c r="CC777" s="21"/>
      <c r="CD777" s="21"/>
      <c r="CE777" s="21"/>
      <c r="CF777" s="21"/>
      <c r="CG777" s="21"/>
      <c r="CH777" s="21"/>
      <c r="CI777" s="21"/>
      <c r="CJ777" s="21"/>
      <c r="CK777" s="21"/>
      <c r="CL777" s="21"/>
      <c r="CM777" s="21"/>
      <c r="CN777" s="21"/>
      <c r="CO777" s="21"/>
      <c r="CP777" s="21"/>
      <c r="CQ777" s="21"/>
      <c r="CR777" s="21"/>
      <c r="CS777" s="21"/>
      <c r="CT777" s="21"/>
      <c r="CU777" s="21"/>
      <c r="CV777" s="21"/>
      <c r="CW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21"/>
      <c r="BT778" s="21"/>
      <c r="BU778" s="21"/>
      <c r="BV778" s="21"/>
      <c r="BW778" s="21"/>
      <c r="BX778" s="21"/>
      <c r="BY778" s="21"/>
      <c r="BZ778" s="21"/>
      <c r="CA778" s="21"/>
      <c r="CB778" s="21"/>
      <c r="CC778" s="21"/>
      <c r="CD778" s="21"/>
      <c r="CE778" s="21"/>
      <c r="CF778" s="21"/>
      <c r="CG778" s="21"/>
      <c r="CH778" s="21"/>
      <c r="CI778" s="21"/>
      <c r="CJ778" s="21"/>
      <c r="CK778" s="21"/>
      <c r="CL778" s="21"/>
      <c r="CM778" s="21"/>
      <c r="CN778" s="21"/>
      <c r="CO778" s="21"/>
      <c r="CP778" s="21"/>
      <c r="CQ778" s="21"/>
      <c r="CR778" s="21"/>
      <c r="CS778" s="21"/>
      <c r="CT778" s="21"/>
      <c r="CU778" s="21"/>
      <c r="CV778" s="21"/>
      <c r="CW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21"/>
      <c r="BT779" s="21"/>
      <c r="BU779" s="21"/>
      <c r="BV779" s="21"/>
      <c r="BW779" s="21"/>
      <c r="BX779" s="21"/>
      <c r="BY779" s="21"/>
      <c r="BZ779" s="21"/>
      <c r="CA779" s="21"/>
      <c r="CB779" s="21"/>
      <c r="CC779" s="21"/>
      <c r="CD779" s="21"/>
      <c r="CE779" s="21"/>
      <c r="CF779" s="21"/>
      <c r="CG779" s="21"/>
      <c r="CH779" s="21"/>
      <c r="CI779" s="21"/>
      <c r="CJ779" s="21"/>
      <c r="CK779" s="21"/>
      <c r="CL779" s="21"/>
      <c r="CM779" s="21"/>
      <c r="CN779" s="21"/>
      <c r="CO779" s="21"/>
      <c r="CP779" s="21"/>
      <c r="CQ779" s="21"/>
      <c r="CR779" s="21"/>
      <c r="CS779" s="21"/>
      <c r="CT779" s="21"/>
      <c r="CU779" s="21"/>
      <c r="CV779" s="21"/>
      <c r="CW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21"/>
      <c r="BT780" s="21"/>
      <c r="BU780" s="21"/>
      <c r="BV780" s="21"/>
      <c r="BW780" s="21"/>
      <c r="BX780" s="21"/>
      <c r="BY780" s="21"/>
      <c r="BZ780" s="21"/>
      <c r="CA780" s="21"/>
      <c r="CB780" s="21"/>
      <c r="CC780" s="21"/>
      <c r="CD780" s="21"/>
      <c r="CE780" s="21"/>
      <c r="CF780" s="21"/>
      <c r="CG780" s="21"/>
      <c r="CH780" s="21"/>
      <c r="CI780" s="21"/>
      <c r="CJ780" s="21"/>
      <c r="CK780" s="21"/>
      <c r="CL780" s="21"/>
      <c r="CM780" s="21"/>
      <c r="CN780" s="21"/>
      <c r="CO780" s="21"/>
      <c r="CP780" s="21"/>
      <c r="CQ780" s="21"/>
      <c r="CR780" s="21"/>
      <c r="CS780" s="21"/>
      <c r="CT780" s="21"/>
      <c r="CU780" s="21"/>
      <c r="CV780" s="21"/>
      <c r="CW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21"/>
      <c r="BT781" s="21"/>
      <c r="BU781" s="21"/>
      <c r="BV781" s="21"/>
      <c r="BW781" s="21"/>
      <c r="BX781" s="21"/>
      <c r="BY781" s="21"/>
      <c r="BZ781" s="21"/>
      <c r="CA781" s="21"/>
      <c r="CB781" s="21"/>
      <c r="CC781" s="21"/>
      <c r="CD781" s="21"/>
      <c r="CE781" s="21"/>
      <c r="CF781" s="21"/>
      <c r="CG781" s="21"/>
      <c r="CH781" s="21"/>
      <c r="CI781" s="21"/>
      <c r="CJ781" s="21"/>
      <c r="CK781" s="21"/>
      <c r="CL781" s="21"/>
      <c r="CM781" s="21"/>
      <c r="CN781" s="21"/>
      <c r="CO781" s="21"/>
      <c r="CP781" s="21"/>
      <c r="CQ781" s="21"/>
      <c r="CR781" s="21"/>
      <c r="CS781" s="21"/>
      <c r="CT781" s="21"/>
      <c r="CU781" s="21"/>
      <c r="CV781" s="21"/>
      <c r="CW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21"/>
      <c r="BT782" s="21"/>
      <c r="BU782" s="21"/>
      <c r="BV782" s="21"/>
      <c r="BW782" s="21"/>
      <c r="BX782" s="21"/>
      <c r="BY782" s="21"/>
      <c r="BZ782" s="21"/>
      <c r="CA782" s="21"/>
      <c r="CB782" s="21"/>
      <c r="CC782" s="21"/>
      <c r="CD782" s="21"/>
      <c r="CE782" s="21"/>
      <c r="CF782" s="21"/>
      <c r="CG782" s="21"/>
      <c r="CH782" s="21"/>
      <c r="CI782" s="21"/>
      <c r="CJ782" s="21"/>
      <c r="CK782" s="21"/>
      <c r="CL782" s="21"/>
      <c r="CM782" s="21"/>
      <c r="CN782" s="21"/>
      <c r="CO782" s="21"/>
      <c r="CP782" s="21"/>
      <c r="CQ782" s="21"/>
      <c r="CR782" s="21"/>
      <c r="CS782" s="21"/>
      <c r="CT782" s="21"/>
      <c r="CU782" s="21"/>
      <c r="CV782" s="21"/>
      <c r="CW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21"/>
      <c r="BT783" s="21"/>
      <c r="BU783" s="21"/>
      <c r="BV783" s="21"/>
      <c r="BW783" s="21"/>
      <c r="BX783" s="21"/>
      <c r="BY783" s="21"/>
      <c r="BZ783" s="21"/>
      <c r="CA783" s="21"/>
      <c r="CB783" s="21"/>
      <c r="CC783" s="21"/>
      <c r="CD783" s="21"/>
      <c r="CE783" s="21"/>
      <c r="CF783" s="21"/>
      <c r="CG783" s="21"/>
      <c r="CH783" s="21"/>
      <c r="CI783" s="21"/>
      <c r="CJ783" s="21"/>
      <c r="CK783" s="21"/>
      <c r="CL783" s="21"/>
      <c r="CM783" s="21"/>
      <c r="CN783" s="21"/>
      <c r="CO783" s="21"/>
      <c r="CP783" s="21"/>
      <c r="CQ783" s="21"/>
      <c r="CR783" s="21"/>
      <c r="CS783" s="21"/>
      <c r="CT783" s="21"/>
      <c r="CU783" s="21"/>
      <c r="CV783" s="21"/>
      <c r="CW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21"/>
      <c r="BT784" s="21"/>
      <c r="BU784" s="21"/>
      <c r="BV784" s="21"/>
      <c r="BW784" s="21"/>
      <c r="BX784" s="21"/>
      <c r="BY784" s="21"/>
      <c r="BZ784" s="21"/>
      <c r="CA784" s="21"/>
      <c r="CB784" s="21"/>
      <c r="CC784" s="21"/>
      <c r="CD784" s="21"/>
      <c r="CE784" s="21"/>
      <c r="CF784" s="21"/>
      <c r="CG784" s="21"/>
      <c r="CH784" s="21"/>
      <c r="CI784" s="21"/>
      <c r="CJ784" s="21"/>
      <c r="CK784" s="21"/>
      <c r="CL784" s="21"/>
      <c r="CM784" s="21"/>
      <c r="CN784" s="21"/>
      <c r="CO784" s="21"/>
      <c r="CP784" s="21"/>
      <c r="CQ784" s="21"/>
      <c r="CR784" s="21"/>
      <c r="CS784" s="21"/>
      <c r="CT784" s="21"/>
      <c r="CU784" s="21"/>
      <c r="CV784" s="21"/>
      <c r="CW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21"/>
      <c r="BT785" s="21"/>
      <c r="BU785" s="21"/>
      <c r="BV785" s="21"/>
      <c r="BW785" s="21"/>
      <c r="BX785" s="21"/>
      <c r="BY785" s="21"/>
      <c r="BZ785" s="21"/>
      <c r="CA785" s="21"/>
      <c r="CB785" s="21"/>
      <c r="CC785" s="21"/>
      <c r="CD785" s="21"/>
      <c r="CE785" s="21"/>
      <c r="CF785" s="21"/>
      <c r="CG785" s="21"/>
      <c r="CH785" s="21"/>
      <c r="CI785" s="21"/>
      <c r="CJ785" s="21"/>
      <c r="CK785" s="21"/>
      <c r="CL785" s="21"/>
      <c r="CM785" s="21"/>
      <c r="CN785" s="21"/>
      <c r="CO785" s="21"/>
      <c r="CP785" s="21"/>
      <c r="CQ785" s="21"/>
      <c r="CR785" s="21"/>
      <c r="CS785" s="21"/>
      <c r="CT785" s="21"/>
      <c r="CU785" s="21"/>
      <c r="CV785" s="21"/>
      <c r="CW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21"/>
      <c r="BT786" s="21"/>
      <c r="BU786" s="21"/>
      <c r="BV786" s="21"/>
      <c r="BW786" s="21"/>
      <c r="BX786" s="21"/>
      <c r="BY786" s="21"/>
      <c r="BZ786" s="21"/>
      <c r="CA786" s="21"/>
      <c r="CB786" s="21"/>
      <c r="CC786" s="21"/>
      <c r="CD786" s="21"/>
      <c r="CE786" s="21"/>
      <c r="CF786" s="21"/>
      <c r="CG786" s="21"/>
      <c r="CH786" s="21"/>
      <c r="CI786" s="21"/>
      <c r="CJ786" s="21"/>
      <c r="CK786" s="21"/>
      <c r="CL786" s="21"/>
      <c r="CM786" s="21"/>
      <c r="CN786" s="21"/>
      <c r="CO786" s="21"/>
      <c r="CP786" s="21"/>
      <c r="CQ786" s="21"/>
      <c r="CR786" s="21"/>
      <c r="CS786" s="21"/>
      <c r="CT786" s="21"/>
      <c r="CU786" s="21"/>
      <c r="CV786" s="21"/>
      <c r="CW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21"/>
      <c r="BT787" s="21"/>
      <c r="BU787" s="21"/>
      <c r="BV787" s="21"/>
      <c r="BW787" s="21"/>
      <c r="BX787" s="21"/>
      <c r="BY787" s="21"/>
      <c r="BZ787" s="21"/>
      <c r="CA787" s="21"/>
      <c r="CB787" s="21"/>
      <c r="CC787" s="21"/>
      <c r="CD787" s="21"/>
      <c r="CE787" s="21"/>
      <c r="CF787" s="21"/>
      <c r="CG787" s="21"/>
      <c r="CH787" s="21"/>
      <c r="CI787" s="21"/>
      <c r="CJ787" s="21"/>
      <c r="CK787" s="21"/>
      <c r="CL787" s="21"/>
      <c r="CM787" s="21"/>
      <c r="CN787" s="21"/>
      <c r="CO787" s="21"/>
      <c r="CP787" s="21"/>
      <c r="CQ787" s="21"/>
      <c r="CR787" s="21"/>
      <c r="CS787" s="21"/>
      <c r="CT787" s="21"/>
      <c r="CU787" s="21"/>
      <c r="CV787" s="21"/>
      <c r="CW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21"/>
      <c r="BT788" s="21"/>
      <c r="BU788" s="21"/>
      <c r="BV788" s="21"/>
      <c r="BW788" s="21"/>
      <c r="BX788" s="21"/>
      <c r="BY788" s="21"/>
      <c r="BZ788" s="21"/>
      <c r="CA788" s="21"/>
      <c r="CB788" s="21"/>
      <c r="CC788" s="21"/>
      <c r="CD788" s="21"/>
      <c r="CE788" s="21"/>
      <c r="CF788" s="21"/>
      <c r="CG788" s="21"/>
      <c r="CH788" s="21"/>
      <c r="CI788" s="21"/>
      <c r="CJ788" s="21"/>
      <c r="CK788" s="21"/>
      <c r="CL788" s="21"/>
      <c r="CM788" s="21"/>
      <c r="CN788" s="21"/>
      <c r="CO788" s="21"/>
      <c r="CP788" s="21"/>
      <c r="CQ788" s="21"/>
      <c r="CR788" s="21"/>
      <c r="CS788" s="21"/>
      <c r="CT788" s="21"/>
      <c r="CU788" s="21"/>
      <c r="CV788" s="21"/>
      <c r="CW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21"/>
      <c r="BT789" s="21"/>
      <c r="BU789" s="21"/>
      <c r="BV789" s="21"/>
      <c r="BW789" s="21"/>
      <c r="BX789" s="21"/>
      <c r="BY789" s="21"/>
      <c r="BZ789" s="21"/>
      <c r="CA789" s="21"/>
      <c r="CB789" s="21"/>
      <c r="CC789" s="21"/>
      <c r="CD789" s="21"/>
      <c r="CE789" s="21"/>
      <c r="CF789" s="21"/>
      <c r="CG789" s="21"/>
      <c r="CH789" s="21"/>
      <c r="CI789" s="21"/>
      <c r="CJ789" s="21"/>
      <c r="CK789" s="21"/>
      <c r="CL789" s="21"/>
      <c r="CM789" s="21"/>
      <c r="CN789" s="21"/>
      <c r="CO789" s="21"/>
      <c r="CP789" s="21"/>
      <c r="CQ789" s="21"/>
      <c r="CR789" s="21"/>
      <c r="CS789" s="21"/>
      <c r="CT789" s="21"/>
      <c r="CU789" s="21"/>
      <c r="CV789" s="21"/>
      <c r="CW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21"/>
      <c r="BT790" s="21"/>
      <c r="BU790" s="21"/>
      <c r="BV790" s="21"/>
      <c r="BW790" s="21"/>
      <c r="BX790" s="21"/>
      <c r="BY790" s="21"/>
      <c r="BZ790" s="21"/>
      <c r="CA790" s="21"/>
      <c r="CB790" s="21"/>
      <c r="CC790" s="21"/>
      <c r="CD790" s="21"/>
      <c r="CE790" s="21"/>
      <c r="CF790" s="21"/>
      <c r="CG790" s="21"/>
      <c r="CH790" s="21"/>
      <c r="CI790" s="21"/>
      <c r="CJ790" s="21"/>
      <c r="CK790" s="21"/>
      <c r="CL790" s="21"/>
      <c r="CM790" s="21"/>
      <c r="CN790" s="21"/>
      <c r="CO790" s="21"/>
      <c r="CP790" s="21"/>
      <c r="CQ790" s="21"/>
      <c r="CR790" s="21"/>
      <c r="CS790" s="21"/>
      <c r="CT790" s="21"/>
      <c r="CU790" s="21"/>
      <c r="CV790" s="21"/>
      <c r="CW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21"/>
      <c r="BT791" s="21"/>
      <c r="BU791" s="21"/>
      <c r="BV791" s="21"/>
      <c r="BW791" s="21"/>
      <c r="BX791" s="21"/>
      <c r="BY791" s="21"/>
      <c r="BZ791" s="21"/>
      <c r="CA791" s="21"/>
      <c r="CB791" s="21"/>
      <c r="CC791" s="21"/>
      <c r="CD791" s="21"/>
      <c r="CE791" s="21"/>
      <c r="CF791" s="21"/>
      <c r="CG791" s="21"/>
      <c r="CH791" s="21"/>
      <c r="CI791" s="21"/>
      <c r="CJ791" s="21"/>
      <c r="CK791" s="21"/>
      <c r="CL791" s="21"/>
      <c r="CM791" s="21"/>
      <c r="CN791" s="21"/>
      <c r="CO791" s="21"/>
      <c r="CP791" s="21"/>
      <c r="CQ791" s="21"/>
      <c r="CR791" s="21"/>
      <c r="CS791" s="21"/>
      <c r="CT791" s="21"/>
      <c r="CU791" s="21"/>
      <c r="CV791" s="21"/>
      <c r="CW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21"/>
      <c r="BT792" s="21"/>
      <c r="BU792" s="21"/>
      <c r="BV792" s="21"/>
      <c r="BW792" s="21"/>
      <c r="BX792" s="21"/>
      <c r="BY792" s="21"/>
      <c r="BZ792" s="21"/>
      <c r="CA792" s="21"/>
      <c r="CB792" s="21"/>
      <c r="CC792" s="21"/>
      <c r="CD792" s="21"/>
      <c r="CE792" s="21"/>
      <c r="CF792" s="21"/>
      <c r="CG792" s="21"/>
      <c r="CH792" s="21"/>
      <c r="CI792" s="21"/>
      <c r="CJ792" s="21"/>
      <c r="CK792" s="21"/>
      <c r="CL792" s="21"/>
      <c r="CM792" s="21"/>
      <c r="CN792" s="21"/>
      <c r="CO792" s="21"/>
      <c r="CP792" s="21"/>
      <c r="CQ792" s="21"/>
      <c r="CR792" s="21"/>
      <c r="CS792" s="21"/>
      <c r="CT792" s="21"/>
      <c r="CU792" s="21"/>
      <c r="CV792" s="21"/>
      <c r="CW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21"/>
      <c r="BT793" s="21"/>
      <c r="BU793" s="21"/>
      <c r="BV793" s="21"/>
      <c r="BW793" s="21"/>
      <c r="BX793" s="21"/>
      <c r="BY793" s="21"/>
      <c r="BZ793" s="21"/>
      <c r="CA793" s="21"/>
      <c r="CB793" s="21"/>
      <c r="CC793" s="21"/>
      <c r="CD793" s="21"/>
      <c r="CE793" s="21"/>
      <c r="CF793" s="21"/>
      <c r="CG793" s="21"/>
      <c r="CH793" s="21"/>
      <c r="CI793" s="21"/>
      <c r="CJ793" s="21"/>
      <c r="CK793" s="21"/>
      <c r="CL793" s="21"/>
      <c r="CM793" s="21"/>
      <c r="CN793" s="21"/>
      <c r="CO793" s="21"/>
      <c r="CP793" s="21"/>
      <c r="CQ793" s="21"/>
      <c r="CR793" s="21"/>
      <c r="CS793" s="21"/>
      <c r="CT793" s="21"/>
      <c r="CU793" s="21"/>
      <c r="CV793" s="21"/>
      <c r="CW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21"/>
      <c r="BT794" s="21"/>
      <c r="BU794" s="21"/>
      <c r="BV794" s="21"/>
      <c r="BW794" s="21"/>
      <c r="BX794" s="21"/>
      <c r="BY794" s="21"/>
      <c r="BZ794" s="21"/>
      <c r="CA794" s="21"/>
      <c r="CB794" s="21"/>
      <c r="CC794" s="21"/>
      <c r="CD794" s="21"/>
      <c r="CE794" s="21"/>
      <c r="CF794" s="21"/>
      <c r="CG794" s="21"/>
      <c r="CH794" s="21"/>
      <c r="CI794" s="21"/>
      <c r="CJ794" s="21"/>
      <c r="CK794" s="21"/>
      <c r="CL794" s="21"/>
      <c r="CM794" s="21"/>
      <c r="CN794" s="21"/>
      <c r="CO794" s="21"/>
      <c r="CP794" s="21"/>
      <c r="CQ794" s="21"/>
      <c r="CR794" s="21"/>
      <c r="CS794" s="21"/>
      <c r="CT794" s="21"/>
      <c r="CU794" s="21"/>
      <c r="CV794" s="21"/>
      <c r="CW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21"/>
      <c r="BT795" s="21"/>
      <c r="BU795" s="21"/>
      <c r="BV795" s="21"/>
      <c r="BW795" s="21"/>
      <c r="BX795" s="21"/>
      <c r="BY795" s="21"/>
      <c r="BZ795" s="21"/>
      <c r="CA795" s="21"/>
      <c r="CB795" s="21"/>
      <c r="CC795" s="21"/>
      <c r="CD795" s="21"/>
      <c r="CE795" s="21"/>
      <c r="CF795" s="21"/>
      <c r="CG795" s="21"/>
      <c r="CH795" s="21"/>
      <c r="CI795" s="21"/>
      <c r="CJ795" s="21"/>
      <c r="CK795" s="21"/>
      <c r="CL795" s="21"/>
      <c r="CM795" s="21"/>
      <c r="CN795" s="21"/>
      <c r="CO795" s="21"/>
      <c r="CP795" s="21"/>
      <c r="CQ795" s="21"/>
      <c r="CR795" s="21"/>
      <c r="CS795" s="21"/>
      <c r="CT795" s="21"/>
      <c r="CU795" s="21"/>
      <c r="CV795" s="21"/>
      <c r="CW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21"/>
      <c r="BT796" s="21"/>
      <c r="BU796" s="21"/>
      <c r="BV796" s="21"/>
      <c r="BW796" s="21"/>
      <c r="BX796" s="21"/>
      <c r="BY796" s="21"/>
      <c r="BZ796" s="21"/>
      <c r="CA796" s="21"/>
      <c r="CB796" s="21"/>
      <c r="CC796" s="21"/>
      <c r="CD796" s="21"/>
      <c r="CE796" s="21"/>
      <c r="CF796" s="21"/>
      <c r="CG796" s="21"/>
      <c r="CH796" s="21"/>
      <c r="CI796" s="21"/>
      <c r="CJ796" s="21"/>
      <c r="CK796" s="21"/>
      <c r="CL796" s="21"/>
      <c r="CM796" s="21"/>
      <c r="CN796" s="21"/>
      <c r="CO796" s="21"/>
      <c r="CP796" s="21"/>
      <c r="CQ796" s="21"/>
      <c r="CR796" s="21"/>
      <c r="CS796" s="21"/>
      <c r="CT796" s="21"/>
      <c r="CU796" s="21"/>
      <c r="CV796" s="21"/>
      <c r="CW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21"/>
      <c r="BT797" s="21"/>
      <c r="BU797" s="21"/>
      <c r="BV797" s="21"/>
      <c r="BW797" s="21"/>
      <c r="BX797" s="21"/>
      <c r="BY797" s="21"/>
      <c r="BZ797" s="21"/>
      <c r="CA797" s="21"/>
      <c r="CB797" s="21"/>
      <c r="CC797" s="21"/>
      <c r="CD797" s="21"/>
      <c r="CE797" s="21"/>
      <c r="CF797" s="21"/>
      <c r="CG797" s="21"/>
      <c r="CH797" s="21"/>
      <c r="CI797" s="21"/>
      <c r="CJ797" s="21"/>
      <c r="CK797" s="21"/>
      <c r="CL797" s="21"/>
      <c r="CM797" s="21"/>
      <c r="CN797" s="21"/>
      <c r="CO797" s="21"/>
      <c r="CP797" s="21"/>
      <c r="CQ797" s="21"/>
      <c r="CR797" s="21"/>
      <c r="CS797" s="21"/>
      <c r="CT797" s="21"/>
      <c r="CU797" s="21"/>
      <c r="CV797" s="21"/>
      <c r="CW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21"/>
      <c r="BT798" s="21"/>
      <c r="BU798" s="21"/>
      <c r="BV798" s="21"/>
      <c r="BW798" s="21"/>
      <c r="BX798" s="21"/>
      <c r="BY798" s="21"/>
      <c r="BZ798" s="21"/>
      <c r="CA798" s="21"/>
      <c r="CB798" s="21"/>
      <c r="CC798" s="21"/>
      <c r="CD798" s="21"/>
      <c r="CE798" s="21"/>
      <c r="CF798" s="21"/>
      <c r="CG798" s="21"/>
      <c r="CH798" s="21"/>
      <c r="CI798" s="21"/>
      <c r="CJ798" s="21"/>
      <c r="CK798" s="21"/>
      <c r="CL798" s="21"/>
      <c r="CM798" s="21"/>
      <c r="CN798" s="21"/>
      <c r="CO798" s="21"/>
      <c r="CP798" s="21"/>
      <c r="CQ798" s="21"/>
      <c r="CR798" s="21"/>
      <c r="CS798" s="21"/>
      <c r="CT798" s="21"/>
      <c r="CU798" s="21"/>
      <c r="CV798" s="21"/>
      <c r="CW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21"/>
      <c r="BT799" s="21"/>
      <c r="BU799" s="21"/>
      <c r="BV799" s="21"/>
      <c r="BW799" s="21"/>
      <c r="BX799" s="21"/>
      <c r="BY799" s="21"/>
      <c r="BZ799" s="21"/>
      <c r="CA799" s="21"/>
      <c r="CB799" s="21"/>
      <c r="CC799" s="21"/>
      <c r="CD799" s="21"/>
      <c r="CE799" s="21"/>
      <c r="CF799" s="21"/>
      <c r="CG799" s="21"/>
      <c r="CH799" s="21"/>
      <c r="CI799" s="21"/>
      <c r="CJ799" s="21"/>
      <c r="CK799" s="21"/>
      <c r="CL799" s="21"/>
      <c r="CM799" s="21"/>
      <c r="CN799" s="21"/>
      <c r="CO799" s="21"/>
      <c r="CP799" s="21"/>
      <c r="CQ799" s="21"/>
      <c r="CR799" s="21"/>
      <c r="CS799" s="21"/>
      <c r="CT799" s="21"/>
      <c r="CU799" s="21"/>
      <c r="CV799" s="21"/>
      <c r="CW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21"/>
      <c r="BT800" s="21"/>
      <c r="BU800" s="21"/>
      <c r="BV800" s="21"/>
      <c r="BW800" s="21"/>
      <c r="BX800" s="21"/>
      <c r="BY800" s="21"/>
      <c r="BZ800" s="21"/>
      <c r="CA800" s="21"/>
      <c r="CB800" s="21"/>
      <c r="CC800" s="21"/>
      <c r="CD800" s="21"/>
      <c r="CE800" s="21"/>
      <c r="CF800" s="21"/>
      <c r="CG800" s="21"/>
      <c r="CH800" s="21"/>
      <c r="CI800" s="21"/>
      <c r="CJ800" s="21"/>
      <c r="CK800" s="21"/>
      <c r="CL800" s="21"/>
      <c r="CM800" s="21"/>
      <c r="CN800" s="21"/>
      <c r="CO800" s="21"/>
      <c r="CP800" s="21"/>
      <c r="CQ800" s="21"/>
      <c r="CR800" s="21"/>
      <c r="CS800" s="21"/>
      <c r="CT800" s="21"/>
      <c r="CU800" s="21"/>
      <c r="CV800" s="21"/>
      <c r="CW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21"/>
      <c r="BT801" s="21"/>
      <c r="BU801" s="21"/>
      <c r="BV801" s="21"/>
      <c r="BW801" s="21"/>
      <c r="BX801" s="21"/>
      <c r="BY801" s="21"/>
      <c r="BZ801" s="21"/>
      <c r="CA801" s="21"/>
      <c r="CB801" s="21"/>
      <c r="CC801" s="21"/>
      <c r="CD801" s="21"/>
      <c r="CE801" s="21"/>
      <c r="CF801" s="21"/>
      <c r="CG801" s="21"/>
      <c r="CH801" s="21"/>
      <c r="CI801" s="21"/>
      <c r="CJ801" s="21"/>
      <c r="CK801" s="21"/>
      <c r="CL801" s="21"/>
      <c r="CM801" s="21"/>
      <c r="CN801" s="21"/>
      <c r="CO801" s="21"/>
      <c r="CP801" s="21"/>
      <c r="CQ801" s="21"/>
      <c r="CR801" s="21"/>
      <c r="CS801" s="21"/>
      <c r="CT801" s="21"/>
      <c r="CU801" s="21"/>
      <c r="CV801" s="21"/>
      <c r="CW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21"/>
      <c r="BT802" s="21"/>
      <c r="BU802" s="21"/>
      <c r="BV802" s="21"/>
      <c r="BW802" s="21"/>
      <c r="BX802" s="21"/>
      <c r="BY802" s="21"/>
      <c r="BZ802" s="21"/>
      <c r="CA802" s="21"/>
      <c r="CB802" s="21"/>
      <c r="CC802" s="21"/>
      <c r="CD802" s="21"/>
      <c r="CE802" s="21"/>
      <c r="CF802" s="21"/>
      <c r="CG802" s="21"/>
      <c r="CH802" s="21"/>
      <c r="CI802" s="21"/>
      <c r="CJ802" s="21"/>
      <c r="CK802" s="21"/>
      <c r="CL802" s="21"/>
      <c r="CM802" s="21"/>
      <c r="CN802" s="21"/>
      <c r="CO802" s="21"/>
      <c r="CP802" s="21"/>
      <c r="CQ802" s="21"/>
      <c r="CR802" s="21"/>
      <c r="CS802" s="21"/>
      <c r="CT802" s="21"/>
      <c r="CU802" s="21"/>
      <c r="CV802" s="21"/>
      <c r="CW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21"/>
      <c r="BT803" s="21"/>
      <c r="BU803" s="21"/>
      <c r="BV803" s="21"/>
      <c r="BW803" s="21"/>
      <c r="BX803" s="21"/>
      <c r="BY803" s="21"/>
      <c r="BZ803" s="21"/>
      <c r="CA803" s="21"/>
      <c r="CB803" s="21"/>
      <c r="CC803" s="21"/>
      <c r="CD803" s="21"/>
      <c r="CE803" s="21"/>
      <c r="CF803" s="21"/>
      <c r="CG803" s="21"/>
      <c r="CH803" s="21"/>
      <c r="CI803" s="21"/>
      <c r="CJ803" s="21"/>
      <c r="CK803" s="21"/>
      <c r="CL803" s="21"/>
      <c r="CM803" s="21"/>
      <c r="CN803" s="21"/>
      <c r="CO803" s="21"/>
      <c r="CP803" s="21"/>
      <c r="CQ803" s="21"/>
      <c r="CR803" s="21"/>
      <c r="CS803" s="21"/>
      <c r="CT803" s="21"/>
      <c r="CU803" s="21"/>
      <c r="CV803" s="21"/>
      <c r="CW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21"/>
      <c r="BT804" s="21"/>
      <c r="BU804" s="21"/>
      <c r="BV804" s="21"/>
      <c r="BW804" s="21"/>
      <c r="BX804" s="21"/>
      <c r="BY804" s="21"/>
      <c r="BZ804" s="21"/>
      <c r="CA804" s="21"/>
      <c r="CB804" s="21"/>
      <c r="CC804" s="21"/>
      <c r="CD804" s="21"/>
      <c r="CE804" s="21"/>
      <c r="CF804" s="21"/>
      <c r="CG804" s="21"/>
      <c r="CH804" s="21"/>
      <c r="CI804" s="21"/>
      <c r="CJ804" s="21"/>
      <c r="CK804" s="21"/>
      <c r="CL804" s="21"/>
      <c r="CM804" s="21"/>
      <c r="CN804" s="21"/>
      <c r="CO804" s="21"/>
      <c r="CP804" s="21"/>
      <c r="CQ804" s="21"/>
      <c r="CR804" s="21"/>
      <c r="CS804" s="21"/>
      <c r="CT804" s="21"/>
      <c r="CU804" s="21"/>
      <c r="CV804" s="21"/>
      <c r="CW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21"/>
      <c r="BT805" s="21"/>
      <c r="BU805" s="21"/>
      <c r="BV805" s="21"/>
      <c r="BW805" s="21"/>
      <c r="BX805" s="21"/>
      <c r="BY805" s="21"/>
      <c r="BZ805" s="21"/>
      <c r="CA805" s="21"/>
      <c r="CB805" s="21"/>
      <c r="CC805" s="21"/>
      <c r="CD805" s="21"/>
      <c r="CE805" s="21"/>
      <c r="CF805" s="21"/>
      <c r="CG805" s="21"/>
      <c r="CH805" s="21"/>
      <c r="CI805" s="21"/>
      <c r="CJ805" s="21"/>
      <c r="CK805" s="21"/>
      <c r="CL805" s="21"/>
      <c r="CM805" s="21"/>
      <c r="CN805" s="21"/>
      <c r="CO805" s="21"/>
      <c r="CP805" s="21"/>
      <c r="CQ805" s="21"/>
      <c r="CR805" s="21"/>
      <c r="CS805" s="21"/>
      <c r="CT805" s="21"/>
      <c r="CU805" s="21"/>
      <c r="CV805" s="21"/>
      <c r="CW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21"/>
      <c r="BT806" s="21"/>
      <c r="BU806" s="21"/>
      <c r="BV806" s="21"/>
      <c r="BW806" s="21"/>
      <c r="BX806" s="21"/>
      <c r="BY806" s="21"/>
      <c r="BZ806" s="21"/>
      <c r="CA806" s="21"/>
      <c r="CB806" s="21"/>
      <c r="CC806" s="21"/>
      <c r="CD806" s="21"/>
      <c r="CE806" s="21"/>
      <c r="CF806" s="21"/>
      <c r="CG806" s="21"/>
      <c r="CH806" s="21"/>
      <c r="CI806" s="21"/>
      <c r="CJ806" s="21"/>
      <c r="CK806" s="21"/>
      <c r="CL806" s="21"/>
      <c r="CM806" s="21"/>
      <c r="CN806" s="21"/>
      <c r="CO806" s="21"/>
      <c r="CP806" s="21"/>
      <c r="CQ806" s="21"/>
      <c r="CR806" s="21"/>
      <c r="CS806" s="21"/>
      <c r="CT806" s="21"/>
      <c r="CU806" s="21"/>
      <c r="CV806" s="21"/>
      <c r="CW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21"/>
      <c r="BT807" s="21"/>
      <c r="BU807" s="21"/>
      <c r="BV807" s="21"/>
      <c r="BW807" s="21"/>
      <c r="BX807" s="21"/>
      <c r="BY807" s="21"/>
      <c r="BZ807" s="21"/>
      <c r="CA807" s="21"/>
      <c r="CB807" s="21"/>
      <c r="CC807" s="21"/>
      <c r="CD807" s="21"/>
      <c r="CE807" s="21"/>
      <c r="CF807" s="21"/>
      <c r="CG807" s="21"/>
      <c r="CH807" s="21"/>
      <c r="CI807" s="21"/>
      <c r="CJ807" s="21"/>
      <c r="CK807" s="21"/>
      <c r="CL807" s="21"/>
      <c r="CM807" s="21"/>
      <c r="CN807" s="21"/>
      <c r="CO807" s="21"/>
      <c r="CP807" s="21"/>
      <c r="CQ807" s="21"/>
      <c r="CR807" s="21"/>
      <c r="CS807" s="21"/>
      <c r="CT807" s="21"/>
      <c r="CU807" s="21"/>
      <c r="CV807" s="21"/>
      <c r="CW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21"/>
      <c r="BT808" s="21"/>
      <c r="BU808" s="21"/>
      <c r="BV808" s="21"/>
      <c r="BW808" s="21"/>
      <c r="BX808" s="21"/>
      <c r="BY808" s="21"/>
      <c r="BZ808" s="21"/>
      <c r="CA808" s="21"/>
      <c r="CB808" s="21"/>
      <c r="CC808" s="21"/>
      <c r="CD808" s="21"/>
      <c r="CE808" s="21"/>
      <c r="CF808" s="21"/>
      <c r="CG808" s="21"/>
      <c r="CH808" s="21"/>
      <c r="CI808" s="21"/>
      <c r="CJ808" s="21"/>
      <c r="CK808" s="21"/>
      <c r="CL808" s="21"/>
      <c r="CM808" s="21"/>
      <c r="CN808" s="21"/>
      <c r="CO808" s="21"/>
      <c r="CP808" s="21"/>
      <c r="CQ808" s="21"/>
      <c r="CR808" s="21"/>
      <c r="CS808" s="21"/>
      <c r="CT808" s="21"/>
      <c r="CU808" s="21"/>
      <c r="CV808" s="21"/>
      <c r="CW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21"/>
      <c r="BT809" s="21"/>
      <c r="BU809" s="21"/>
      <c r="BV809" s="21"/>
      <c r="BW809" s="21"/>
      <c r="BX809" s="21"/>
      <c r="BY809" s="21"/>
      <c r="BZ809" s="21"/>
      <c r="CA809" s="21"/>
      <c r="CB809" s="21"/>
      <c r="CC809" s="21"/>
      <c r="CD809" s="21"/>
      <c r="CE809" s="21"/>
      <c r="CF809" s="21"/>
      <c r="CG809" s="21"/>
      <c r="CH809" s="21"/>
      <c r="CI809" s="21"/>
      <c r="CJ809" s="21"/>
      <c r="CK809" s="21"/>
      <c r="CL809" s="21"/>
      <c r="CM809" s="21"/>
      <c r="CN809" s="21"/>
      <c r="CO809" s="21"/>
      <c r="CP809" s="21"/>
      <c r="CQ809" s="21"/>
      <c r="CR809" s="21"/>
      <c r="CS809" s="21"/>
      <c r="CT809" s="21"/>
      <c r="CU809" s="21"/>
      <c r="CV809" s="21"/>
      <c r="CW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21"/>
      <c r="BT810" s="21"/>
      <c r="BU810" s="21"/>
      <c r="BV810" s="21"/>
      <c r="BW810" s="21"/>
      <c r="BX810" s="21"/>
      <c r="BY810" s="21"/>
      <c r="BZ810" s="21"/>
      <c r="CA810" s="21"/>
      <c r="CB810" s="21"/>
      <c r="CC810" s="21"/>
      <c r="CD810" s="21"/>
      <c r="CE810" s="21"/>
      <c r="CF810" s="21"/>
      <c r="CG810" s="21"/>
      <c r="CH810" s="21"/>
      <c r="CI810" s="21"/>
      <c r="CJ810" s="21"/>
      <c r="CK810" s="21"/>
      <c r="CL810" s="21"/>
      <c r="CM810" s="21"/>
      <c r="CN810" s="21"/>
      <c r="CO810" s="21"/>
      <c r="CP810" s="21"/>
      <c r="CQ810" s="21"/>
      <c r="CR810" s="21"/>
      <c r="CS810" s="21"/>
      <c r="CT810" s="21"/>
      <c r="CU810" s="21"/>
      <c r="CV810" s="21"/>
      <c r="CW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21"/>
      <c r="BT811" s="21"/>
      <c r="BU811" s="21"/>
      <c r="BV811" s="21"/>
      <c r="BW811" s="21"/>
      <c r="BX811" s="21"/>
      <c r="BY811" s="21"/>
      <c r="BZ811" s="21"/>
      <c r="CA811" s="21"/>
      <c r="CB811" s="21"/>
      <c r="CC811" s="21"/>
      <c r="CD811" s="21"/>
      <c r="CE811" s="21"/>
      <c r="CF811" s="21"/>
      <c r="CG811" s="21"/>
      <c r="CH811" s="21"/>
      <c r="CI811" s="21"/>
      <c r="CJ811" s="21"/>
      <c r="CK811" s="21"/>
      <c r="CL811" s="21"/>
      <c r="CM811" s="21"/>
      <c r="CN811" s="21"/>
      <c r="CO811" s="21"/>
      <c r="CP811" s="21"/>
      <c r="CQ811" s="21"/>
      <c r="CR811" s="21"/>
      <c r="CS811" s="21"/>
      <c r="CT811" s="21"/>
      <c r="CU811" s="21"/>
      <c r="CV811" s="21"/>
      <c r="CW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21"/>
      <c r="BT812" s="21"/>
      <c r="BU812" s="21"/>
      <c r="BV812" s="21"/>
      <c r="BW812" s="21"/>
      <c r="BX812" s="21"/>
      <c r="BY812" s="21"/>
      <c r="BZ812" s="21"/>
      <c r="CA812" s="21"/>
      <c r="CB812" s="21"/>
      <c r="CC812" s="21"/>
      <c r="CD812" s="21"/>
      <c r="CE812" s="21"/>
      <c r="CF812" s="21"/>
      <c r="CG812" s="21"/>
      <c r="CH812" s="21"/>
      <c r="CI812" s="21"/>
      <c r="CJ812" s="21"/>
      <c r="CK812" s="21"/>
      <c r="CL812" s="21"/>
      <c r="CM812" s="21"/>
      <c r="CN812" s="21"/>
      <c r="CO812" s="21"/>
      <c r="CP812" s="21"/>
      <c r="CQ812" s="21"/>
      <c r="CR812" s="21"/>
      <c r="CS812" s="21"/>
      <c r="CT812" s="21"/>
      <c r="CU812" s="21"/>
      <c r="CV812" s="21"/>
      <c r="CW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21"/>
      <c r="BT813" s="21"/>
      <c r="BU813" s="21"/>
      <c r="BV813" s="21"/>
      <c r="BW813" s="21"/>
      <c r="BX813" s="21"/>
      <c r="BY813" s="21"/>
      <c r="BZ813" s="21"/>
      <c r="CA813" s="21"/>
      <c r="CB813" s="21"/>
      <c r="CC813" s="21"/>
      <c r="CD813" s="21"/>
      <c r="CE813" s="21"/>
      <c r="CF813" s="21"/>
      <c r="CG813" s="21"/>
      <c r="CH813" s="21"/>
      <c r="CI813" s="21"/>
      <c r="CJ813" s="21"/>
      <c r="CK813" s="21"/>
      <c r="CL813" s="21"/>
      <c r="CM813" s="21"/>
      <c r="CN813" s="21"/>
      <c r="CO813" s="21"/>
      <c r="CP813" s="21"/>
      <c r="CQ813" s="21"/>
      <c r="CR813" s="21"/>
      <c r="CS813" s="21"/>
      <c r="CT813" s="21"/>
      <c r="CU813" s="21"/>
      <c r="CV813" s="21"/>
      <c r="CW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21"/>
      <c r="BT814" s="21"/>
      <c r="BU814" s="21"/>
      <c r="BV814" s="21"/>
      <c r="BW814" s="21"/>
      <c r="BX814" s="21"/>
      <c r="BY814" s="21"/>
      <c r="BZ814" s="21"/>
      <c r="CA814" s="21"/>
      <c r="CB814" s="21"/>
      <c r="CC814" s="21"/>
      <c r="CD814" s="21"/>
      <c r="CE814" s="21"/>
      <c r="CF814" s="21"/>
      <c r="CG814" s="21"/>
      <c r="CH814" s="21"/>
      <c r="CI814" s="21"/>
      <c r="CJ814" s="21"/>
      <c r="CK814" s="21"/>
      <c r="CL814" s="21"/>
      <c r="CM814" s="21"/>
      <c r="CN814" s="21"/>
      <c r="CO814" s="21"/>
      <c r="CP814" s="21"/>
      <c r="CQ814" s="21"/>
      <c r="CR814" s="21"/>
      <c r="CS814" s="21"/>
      <c r="CT814" s="21"/>
      <c r="CU814" s="21"/>
      <c r="CV814" s="21"/>
      <c r="CW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21"/>
      <c r="BT815" s="21"/>
      <c r="BU815" s="21"/>
      <c r="BV815" s="21"/>
      <c r="BW815" s="21"/>
      <c r="BX815" s="21"/>
      <c r="BY815" s="21"/>
      <c r="BZ815" s="21"/>
      <c r="CA815" s="21"/>
      <c r="CB815" s="21"/>
      <c r="CC815" s="21"/>
      <c r="CD815" s="21"/>
      <c r="CE815" s="21"/>
      <c r="CF815" s="21"/>
      <c r="CG815" s="21"/>
      <c r="CH815" s="21"/>
      <c r="CI815" s="21"/>
      <c r="CJ815" s="21"/>
      <c r="CK815" s="21"/>
      <c r="CL815" s="21"/>
      <c r="CM815" s="21"/>
      <c r="CN815" s="21"/>
      <c r="CO815" s="21"/>
      <c r="CP815" s="21"/>
      <c r="CQ815" s="21"/>
      <c r="CR815" s="21"/>
      <c r="CS815" s="21"/>
      <c r="CT815" s="21"/>
      <c r="CU815" s="21"/>
      <c r="CV815" s="21"/>
      <c r="CW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21"/>
      <c r="BT816" s="21"/>
      <c r="BU816" s="21"/>
      <c r="BV816" s="21"/>
      <c r="BW816" s="21"/>
      <c r="BX816" s="21"/>
      <c r="BY816" s="21"/>
      <c r="BZ816" s="21"/>
      <c r="CA816" s="21"/>
      <c r="CB816" s="21"/>
      <c r="CC816" s="21"/>
      <c r="CD816" s="21"/>
      <c r="CE816" s="21"/>
      <c r="CF816" s="21"/>
      <c r="CG816" s="21"/>
      <c r="CH816" s="21"/>
      <c r="CI816" s="21"/>
      <c r="CJ816" s="21"/>
      <c r="CK816" s="21"/>
      <c r="CL816" s="21"/>
      <c r="CM816" s="21"/>
      <c r="CN816" s="21"/>
      <c r="CO816" s="21"/>
      <c r="CP816" s="21"/>
      <c r="CQ816" s="21"/>
      <c r="CR816" s="21"/>
      <c r="CS816" s="21"/>
      <c r="CT816" s="21"/>
      <c r="CU816" s="21"/>
      <c r="CV816" s="21"/>
      <c r="CW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21"/>
      <c r="BT817" s="21"/>
      <c r="BU817" s="21"/>
      <c r="BV817" s="21"/>
      <c r="BW817" s="21"/>
      <c r="BX817" s="21"/>
      <c r="BY817" s="21"/>
      <c r="BZ817" s="21"/>
      <c r="CA817" s="21"/>
      <c r="CB817" s="21"/>
      <c r="CC817" s="21"/>
      <c r="CD817" s="21"/>
      <c r="CE817" s="21"/>
      <c r="CF817" s="21"/>
      <c r="CG817" s="21"/>
      <c r="CH817" s="21"/>
      <c r="CI817" s="21"/>
      <c r="CJ817" s="21"/>
      <c r="CK817" s="21"/>
      <c r="CL817" s="21"/>
      <c r="CM817" s="21"/>
      <c r="CN817" s="21"/>
      <c r="CO817" s="21"/>
      <c r="CP817" s="21"/>
      <c r="CQ817" s="21"/>
      <c r="CR817" s="21"/>
      <c r="CS817" s="21"/>
      <c r="CT817" s="21"/>
      <c r="CU817" s="21"/>
      <c r="CV817" s="21"/>
      <c r="CW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21"/>
      <c r="BT818" s="21"/>
      <c r="BU818" s="21"/>
      <c r="BV818" s="21"/>
      <c r="BW818" s="21"/>
      <c r="BX818" s="21"/>
      <c r="BY818" s="21"/>
      <c r="BZ818" s="21"/>
      <c r="CA818" s="21"/>
      <c r="CB818" s="21"/>
      <c r="CC818" s="21"/>
      <c r="CD818" s="21"/>
      <c r="CE818" s="21"/>
      <c r="CF818" s="21"/>
      <c r="CG818" s="21"/>
      <c r="CH818" s="21"/>
      <c r="CI818" s="21"/>
      <c r="CJ818" s="21"/>
      <c r="CK818" s="21"/>
      <c r="CL818" s="21"/>
      <c r="CM818" s="21"/>
      <c r="CN818" s="21"/>
      <c r="CO818" s="21"/>
      <c r="CP818" s="21"/>
      <c r="CQ818" s="21"/>
      <c r="CR818" s="21"/>
      <c r="CS818" s="21"/>
      <c r="CT818" s="21"/>
      <c r="CU818" s="21"/>
      <c r="CV818" s="21"/>
      <c r="CW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21"/>
      <c r="BT819" s="21"/>
      <c r="BU819" s="21"/>
      <c r="BV819" s="21"/>
      <c r="BW819" s="21"/>
      <c r="BX819" s="21"/>
      <c r="BY819" s="21"/>
      <c r="BZ819" s="21"/>
      <c r="CA819" s="21"/>
      <c r="CB819" s="21"/>
      <c r="CC819" s="21"/>
      <c r="CD819" s="21"/>
      <c r="CE819" s="21"/>
      <c r="CF819" s="21"/>
      <c r="CG819" s="21"/>
      <c r="CH819" s="21"/>
      <c r="CI819" s="21"/>
      <c r="CJ819" s="21"/>
      <c r="CK819" s="21"/>
      <c r="CL819" s="21"/>
      <c r="CM819" s="21"/>
      <c r="CN819" s="21"/>
      <c r="CO819" s="21"/>
      <c r="CP819" s="21"/>
      <c r="CQ819" s="21"/>
      <c r="CR819" s="21"/>
      <c r="CS819" s="21"/>
      <c r="CT819" s="21"/>
      <c r="CU819" s="21"/>
      <c r="CV819" s="21"/>
      <c r="CW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21"/>
      <c r="BT820" s="21"/>
      <c r="BU820" s="21"/>
      <c r="BV820" s="21"/>
      <c r="BW820" s="21"/>
      <c r="BX820" s="21"/>
      <c r="BY820" s="21"/>
      <c r="BZ820" s="21"/>
      <c r="CA820" s="21"/>
      <c r="CB820" s="21"/>
      <c r="CC820" s="21"/>
      <c r="CD820" s="21"/>
      <c r="CE820" s="21"/>
      <c r="CF820" s="21"/>
      <c r="CG820" s="21"/>
      <c r="CH820" s="21"/>
      <c r="CI820" s="21"/>
      <c r="CJ820" s="21"/>
      <c r="CK820" s="21"/>
      <c r="CL820" s="21"/>
      <c r="CM820" s="21"/>
      <c r="CN820" s="21"/>
      <c r="CO820" s="21"/>
      <c r="CP820" s="21"/>
      <c r="CQ820" s="21"/>
      <c r="CR820" s="21"/>
      <c r="CS820" s="21"/>
      <c r="CT820" s="21"/>
      <c r="CU820" s="21"/>
      <c r="CV820" s="21"/>
      <c r="CW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21"/>
      <c r="BT821" s="21"/>
      <c r="BU821" s="21"/>
      <c r="BV821" s="21"/>
      <c r="BW821" s="21"/>
      <c r="BX821" s="21"/>
      <c r="BY821" s="21"/>
      <c r="BZ821" s="21"/>
      <c r="CA821" s="21"/>
      <c r="CB821" s="21"/>
      <c r="CC821" s="21"/>
      <c r="CD821" s="21"/>
      <c r="CE821" s="21"/>
      <c r="CF821" s="21"/>
      <c r="CG821" s="21"/>
      <c r="CH821" s="21"/>
      <c r="CI821" s="21"/>
      <c r="CJ821" s="21"/>
      <c r="CK821" s="21"/>
      <c r="CL821" s="21"/>
      <c r="CM821" s="21"/>
      <c r="CN821" s="21"/>
      <c r="CO821" s="21"/>
      <c r="CP821" s="21"/>
      <c r="CQ821" s="21"/>
      <c r="CR821" s="21"/>
      <c r="CS821" s="21"/>
      <c r="CT821" s="21"/>
      <c r="CU821" s="21"/>
      <c r="CV821" s="21"/>
      <c r="CW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21"/>
      <c r="BT822" s="21"/>
      <c r="BU822" s="21"/>
      <c r="BV822" s="21"/>
      <c r="BW822" s="21"/>
      <c r="BX822" s="21"/>
      <c r="BY822" s="21"/>
      <c r="BZ822" s="21"/>
      <c r="CA822" s="21"/>
      <c r="CB822" s="21"/>
      <c r="CC822" s="21"/>
      <c r="CD822" s="21"/>
      <c r="CE822" s="21"/>
      <c r="CF822" s="21"/>
      <c r="CG822" s="21"/>
      <c r="CH822" s="21"/>
      <c r="CI822" s="21"/>
      <c r="CJ822" s="21"/>
      <c r="CK822" s="21"/>
      <c r="CL822" s="21"/>
      <c r="CM822" s="21"/>
      <c r="CN822" s="21"/>
      <c r="CO822" s="21"/>
      <c r="CP822" s="21"/>
      <c r="CQ822" s="21"/>
      <c r="CR822" s="21"/>
      <c r="CS822" s="21"/>
      <c r="CT822" s="21"/>
      <c r="CU822" s="21"/>
      <c r="CV822" s="21"/>
      <c r="CW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21"/>
      <c r="BT823" s="21"/>
      <c r="BU823" s="21"/>
      <c r="BV823" s="21"/>
      <c r="BW823" s="21"/>
      <c r="BX823" s="21"/>
      <c r="BY823" s="21"/>
      <c r="BZ823" s="21"/>
      <c r="CA823" s="21"/>
      <c r="CB823" s="21"/>
      <c r="CC823" s="21"/>
      <c r="CD823" s="21"/>
      <c r="CE823" s="21"/>
      <c r="CF823" s="21"/>
      <c r="CG823" s="21"/>
      <c r="CH823" s="21"/>
      <c r="CI823" s="21"/>
      <c r="CJ823" s="21"/>
      <c r="CK823" s="21"/>
      <c r="CL823" s="21"/>
      <c r="CM823" s="21"/>
      <c r="CN823" s="21"/>
      <c r="CO823" s="21"/>
      <c r="CP823" s="21"/>
      <c r="CQ823" s="21"/>
      <c r="CR823" s="21"/>
      <c r="CS823" s="21"/>
      <c r="CT823" s="21"/>
      <c r="CU823" s="21"/>
      <c r="CV823" s="21"/>
      <c r="CW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21"/>
      <c r="BT824" s="21"/>
      <c r="BU824" s="21"/>
      <c r="BV824" s="21"/>
      <c r="BW824" s="21"/>
      <c r="BX824" s="21"/>
      <c r="BY824" s="21"/>
      <c r="BZ824" s="21"/>
      <c r="CA824" s="21"/>
      <c r="CB824" s="21"/>
      <c r="CC824" s="21"/>
      <c r="CD824" s="21"/>
      <c r="CE824" s="21"/>
      <c r="CF824" s="21"/>
      <c r="CG824" s="21"/>
      <c r="CH824" s="21"/>
      <c r="CI824" s="21"/>
      <c r="CJ824" s="21"/>
      <c r="CK824" s="21"/>
      <c r="CL824" s="21"/>
      <c r="CM824" s="21"/>
      <c r="CN824" s="21"/>
      <c r="CO824" s="21"/>
      <c r="CP824" s="21"/>
      <c r="CQ824" s="21"/>
      <c r="CR824" s="21"/>
      <c r="CS824" s="21"/>
      <c r="CT824" s="21"/>
      <c r="CU824" s="21"/>
      <c r="CV824" s="21"/>
      <c r="CW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21"/>
      <c r="BT825" s="21"/>
      <c r="BU825" s="21"/>
      <c r="BV825" s="21"/>
      <c r="BW825" s="21"/>
      <c r="BX825" s="21"/>
      <c r="BY825" s="21"/>
      <c r="BZ825" s="21"/>
      <c r="CA825" s="21"/>
      <c r="CB825" s="21"/>
      <c r="CC825" s="21"/>
      <c r="CD825" s="21"/>
      <c r="CE825" s="21"/>
      <c r="CF825" s="21"/>
      <c r="CG825" s="21"/>
      <c r="CH825" s="21"/>
      <c r="CI825" s="21"/>
      <c r="CJ825" s="21"/>
      <c r="CK825" s="21"/>
      <c r="CL825" s="21"/>
      <c r="CM825" s="21"/>
      <c r="CN825" s="21"/>
      <c r="CO825" s="21"/>
      <c r="CP825" s="21"/>
      <c r="CQ825" s="21"/>
      <c r="CR825" s="21"/>
      <c r="CS825" s="21"/>
      <c r="CT825" s="21"/>
      <c r="CU825" s="21"/>
      <c r="CV825" s="21"/>
      <c r="CW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21"/>
      <c r="BT826" s="21"/>
      <c r="BU826" s="21"/>
      <c r="BV826" s="21"/>
      <c r="BW826" s="21"/>
      <c r="BX826" s="21"/>
      <c r="BY826" s="21"/>
      <c r="BZ826" s="21"/>
      <c r="CA826" s="21"/>
      <c r="CB826" s="21"/>
      <c r="CC826" s="21"/>
      <c r="CD826" s="21"/>
      <c r="CE826" s="21"/>
      <c r="CF826" s="21"/>
      <c r="CG826" s="21"/>
      <c r="CH826" s="21"/>
      <c r="CI826" s="21"/>
      <c r="CJ826" s="21"/>
      <c r="CK826" s="21"/>
      <c r="CL826" s="21"/>
      <c r="CM826" s="21"/>
      <c r="CN826" s="21"/>
      <c r="CO826" s="21"/>
      <c r="CP826" s="21"/>
      <c r="CQ826" s="21"/>
      <c r="CR826" s="21"/>
      <c r="CS826" s="21"/>
      <c r="CT826" s="21"/>
      <c r="CU826" s="21"/>
      <c r="CV826" s="21"/>
      <c r="CW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21"/>
      <c r="BT827" s="21"/>
      <c r="BU827" s="21"/>
      <c r="BV827" s="21"/>
      <c r="BW827" s="21"/>
      <c r="BX827" s="21"/>
      <c r="BY827" s="21"/>
      <c r="BZ827" s="21"/>
      <c r="CA827" s="21"/>
      <c r="CB827" s="21"/>
      <c r="CC827" s="21"/>
      <c r="CD827" s="21"/>
      <c r="CE827" s="21"/>
      <c r="CF827" s="21"/>
      <c r="CG827" s="21"/>
      <c r="CH827" s="21"/>
      <c r="CI827" s="21"/>
      <c r="CJ827" s="21"/>
      <c r="CK827" s="21"/>
      <c r="CL827" s="21"/>
      <c r="CM827" s="21"/>
      <c r="CN827" s="21"/>
      <c r="CO827" s="21"/>
      <c r="CP827" s="21"/>
      <c r="CQ827" s="21"/>
      <c r="CR827" s="21"/>
      <c r="CS827" s="21"/>
      <c r="CT827" s="21"/>
      <c r="CU827" s="21"/>
      <c r="CV827" s="21"/>
      <c r="CW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21"/>
      <c r="BT828" s="21"/>
      <c r="BU828" s="21"/>
      <c r="BV828" s="21"/>
      <c r="BW828" s="21"/>
      <c r="BX828" s="21"/>
      <c r="BY828" s="21"/>
      <c r="BZ828" s="21"/>
      <c r="CA828" s="21"/>
      <c r="CB828" s="21"/>
      <c r="CC828" s="21"/>
      <c r="CD828" s="21"/>
      <c r="CE828" s="21"/>
      <c r="CF828" s="21"/>
      <c r="CG828" s="21"/>
      <c r="CH828" s="21"/>
      <c r="CI828" s="21"/>
      <c r="CJ828" s="21"/>
      <c r="CK828" s="21"/>
      <c r="CL828" s="21"/>
      <c r="CM828" s="21"/>
      <c r="CN828" s="21"/>
      <c r="CO828" s="21"/>
      <c r="CP828" s="21"/>
      <c r="CQ828" s="21"/>
      <c r="CR828" s="21"/>
      <c r="CS828" s="21"/>
      <c r="CT828" s="21"/>
      <c r="CU828" s="21"/>
      <c r="CV828" s="21"/>
      <c r="CW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21"/>
      <c r="BT829" s="21"/>
      <c r="BU829" s="21"/>
      <c r="BV829" s="21"/>
      <c r="BW829" s="21"/>
      <c r="BX829" s="21"/>
      <c r="BY829" s="21"/>
      <c r="BZ829" s="21"/>
      <c r="CA829" s="21"/>
      <c r="CB829" s="21"/>
      <c r="CC829" s="21"/>
      <c r="CD829" s="21"/>
      <c r="CE829" s="21"/>
      <c r="CF829" s="21"/>
      <c r="CG829" s="21"/>
      <c r="CH829" s="21"/>
      <c r="CI829" s="21"/>
      <c r="CJ829" s="21"/>
      <c r="CK829" s="21"/>
      <c r="CL829" s="21"/>
      <c r="CM829" s="21"/>
      <c r="CN829" s="21"/>
      <c r="CO829" s="21"/>
      <c r="CP829" s="21"/>
      <c r="CQ829" s="21"/>
      <c r="CR829" s="21"/>
      <c r="CS829" s="21"/>
      <c r="CT829" s="21"/>
      <c r="CU829" s="21"/>
      <c r="CV829" s="21"/>
      <c r="CW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21"/>
      <c r="BT830" s="21"/>
      <c r="BU830" s="21"/>
      <c r="BV830" s="21"/>
      <c r="BW830" s="21"/>
      <c r="BX830" s="21"/>
      <c r="BY830" s="21"/>
      <c r="BZ830" s="21"/>
      <c r="CA830" s="21"/>
      <c r="CB830" s="21"/>
      <c r="CC830" s="21"/>
      <c r="CD830" s="21"/>
      <c r="CE830" s="21"/>
      <c r="CF830" s="21"/>
      <c r="CG830" s="21"/>
      <c r="CH830" s="21"/>
      <c r="CI830" s="21"/>
      <c r="CJ830" s="21"/>
      <c r="CK830" s="21"/>
      <c r="CL830" s="21"/>
      <c r="CM830" s="21"/>
      <c r="CN830" s="21"/>
      <c r="CO830" s="21"/>
      <c r="CP830" s="21"/>
      <c r="CQ830" s="21"/>
      <c r="CR830" s="21"/>
      <c r="CS830" s="21"/>
      <c r="CT830" s="21"/>
      <c r="CU830" s="21"/>
      <c r="CV830" s="21"/>
      <c r="CW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21"/>
      <c r="BT831" s="21"/>
      <c r="BU831" s="21"/>
      <c r="BV831" s="21"/>
      <c r="BW831" s="21"/>
      <c r="BX831" s="21"/>
      <c r="BY831" s="21"/>
      <c r="BZ831" s="21"/>
      <c r="CA831" s="21"/>
      <c r="CB831" s="21"/>
      <c r="CC831" s="21"/>
      <c r="CD831" s="21"/>
      <c r="CE831" s="21"/>
      <c r="CF831" s="21"/>
      <c r="CG831" s="21"/>
      <c r="CH831" s="21"/>
      <c r="CI831" s="21"/>
      <c r="CJ831" s="21"/>
      <c r="CK831" s="21"/>
      <c r="CL831" s="21"/>
      <c r="CM831" s="21"/>
      <c r="CN831" s="21"/>
      <c r="CO831" s="21"/>
      <c r="CP831" s="21"/>
      <c r="CQ831" s="21"/>
      <c r="CR831" s="21"/>
      <c r="CS831" s="21"/>
      <c r="CT831" s="21"/>
      <c r="CU831" s="21"/>
      <c r="CV831" s="21"/>
      <c r="CW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21"/>
      <c r="BT832" s="21"/>
      <c r="BU832" s="21"/>
      <c r="BV832" s="21"/>
      <c r="BW832" s="21"/>
      <c r="BX832" s="21"/>
      <c r="BY832" s="21"/>
      <c r="BZ832" s="21"/>
      <c r="CA832" s="21"/>
      <c r="CB832" s="21"/>
      <c r="CC832" s="21"/>
      <c r="CD832" s="21"/>
      <c r="CE832" s="21"/>
      <c r="CF832" s="21"/>
      <c r="CG832" s="21"/>
      <c r="CH832" s="21"/>
      <c r="CI832" s="21"/>
      <c r="CJ832" s="21"/>
      <c r="CK832" s="21"/>
      <c r="CL832" s="21"/>
      <c r="CM832" s="21"/>
      <c r="CN832" s="21"/>
      <c r="CO832" s="21"/>
      <c r="CP832" s="21"/>
      <c r="CQ832" s="21"/>
      <c r="CR832" s="21"/>
      <c r="CS832" s="21"/>
      <c r="CT832" s="21"/>
      <c r="CU832" s="21"/>
      <c r="CV832" s="21"/>
      <c r="CW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21"/>
      <c r="BT833" s="21"/>
      <c r="BU833" s="21"/>
      <c r="BV833" s="21"/>
      <c r="BW833" s="21"/>
      <c r="BX833" s="21"/>
      <c r="BY833" s="21"/>
      <c r="BZ833" s="21"/>
      <c r="CA833" s="21"/>
      <c r="CB833" s="21"/>
      <c r="CC833" s="21"/>
      <c r="CD833" s="21"/>
      <c r="CE833" s="21"/>
      <c r="CF833" s="21"/>
      <c r="CG833" s="21"/>
      <c r="CH833" s="21"/>
      <c r="CI833" s="21"/>
      <c r="CJ833" s="21"/>
      <c r="CK833" s="21"/>
      <c r="CL833" s="21"/>
      <c r="CM833" s="21"/>
      <c r="CN833" s="21"/>
      <c r="CO833" s="21"/>
      <c r="CP833" s="21"/>
      <c r="CQ833" s="21"/>
      <c r="CR833" s="21"/>
      <c r="CS833" s="21"/>
      <c r="CT833" s="21"/>
      <c r="CU833" s="21"/>
      <c r="CV833" s="21"/>
      <c r="CW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21"/>
      <c r="BT834" s="21"/>
      <c r="BU834" s="21"/>
      <c r="BV834" s="21"/>
      <c r="BW834" s="21"/>
      <c r="BX834" s="21"/>
      <c r="BY834" s="21"/>
      <c r="BZ834" s="21"/>
      <c r="CA834" s="21"/>
      <c r="CB834" s="21"/>
      <c r="CC834" s="21"/>
      <c r="CD834" s="21"/>
      <c r="CE834" s="21"/>
      <c r="CF834" s="21"/>
      <c r="CG834" s="21"/>
      <c r="CH834" s="21"/>
      <c r="CI834" s="21"/>
      <c r="CJ834" s="21"/>
      <c r="CK834" s="21"/>
      <c r="CL834" s="21"/>
      <c r="CM834" s="21"/>
      <c r="CN834" s="21"/>
      <c r="CO834" s="21"/>
      <c r="CP834" s="21"/>
      <c r="CQ834" s="21"/>
      <c r="CR834" s="21"/>
      <c r="CS834" s="21"/>
      <c r="CT834" s="21"/>
      <c r="CU834" s="21"/>
      <c r="CV834" s="21"/>
      <c r="CW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21"/>
      <c r="BT835" s="21"/>
      <c r="BU835" s="21"/>
      <c r="BV835" s="21"/>
      <c r="BW835" s="21"/>
      <c r="BX835" s="21"/>
      <c r="BY835" s="21"/>
      <c r="BZ835" s="21"/>
      <c r="CA835" s="21"/>
      <c r="CB835" s="21"/>
      <c r="CC835" s="21"/>
      <c r="CD835" s="21"/>
      <c r="CE835" s="21"/>
      <c r="CF835" s="21"/>
      <c r="CG835" s="21"/>
      <c r="CH835" s="21"/>
      <c r="CI835" s="21"/>
      <c r="CJ835" s="21"/>
      <c r="CK835" s="21"/>
      <c r="CL835" s="21"/>
      <c r="CM835" s="21"/>
      <c r="CN835" s="21"/>
      <c r="CO835" s="21"/>
      <c r="CP835" s="21"/>
      <c r="CQ835" s="21"/>
      <c r="CR835" s="21"/>
      <c r="CS835" s="21"/>
      <c r="CT835" s="21"/>
      <c r="CU835" s="21"/>
      <c r="CV835" s="21"/>
      <c r="CW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21"/>
      <c r="BT836" s="21"/>
      <c r="BU836" s="21"/>
      <c r="BV836" s="21"/>
      <c r="BW836" s="21"/>
      <c r="BX836" s="21"/>
      <c r="BY836" s="21"/>
      <c r="BZ836" s="21"/>
      <c r="CA836" s="21"/>
      <c r="CB836" s="21"/>
      <c r="CC836" s="21"/>
      <c r="CD836" s="21"/>
      <c r="CE836" s="21"/>
      <c r="CF836" s="21"/>
      <c r="CG836" s="21"/>
      <c r="CH836" s="21"/>
      <c r="CI836" s="21"/>
      <c r="CJ836" s="21"/>
      <c r="CK836" s="21"/>
      <c r="CL836" s="21"/>
      <c r="CM836" s="21"/>
      <c r="CN836" s="21"/>
      <c r="CO836" s="21"/>
      <c r="CP836" s="21"/>
      <c r="CQ836" s="21"/>
      <c r="CR836" s="21"/>
      <c r="CS836" s="21"/>
      <c r="CT836" s="21"/>
      <c r="CU836" s="21"/>
      <c r="CV836" s="21"/>
      <c r="CW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21"/>
      <c r="BT837" s="21"/>
      <c r="BU837" s="21"/>
      <c r="BV837" s="21"/>
      <c r="BW837" s="21"/>
      <c r="BX837" s="21"/>
      <c r="BY837" s="21"/>
      <c r="BZ837" s="21"/>
      <c r="CA837" s="21"/>
      <c r="CB837" s="21"/>
      <c r="CC837" s="21"/>
      <c r="CD837" s="21"/>
      <c r="CE837" s="21"/>
      <c r="CF837" s="21"/>
      <c r="CG837" s="21"/>
      <c r="CH837" s="21"/>
      <c r="CI837" s="21"/>
      <c r="CJ837" s="21"/>
      <c r="CK837" s="21"/>
      <c r="CL837" s="21"/>
      <c r="CM837" s="21"/>
      <c r="CN837" s="21"/>
      <c r="CO837" s="21"/>
      <c r="CP837" s="21"/>
      <c r="CQ837" s="21"/>
      <c r="CR837" s="21"/>
      <c r="CS837" s="21"/>
      <c r="CT837" s="21"/>
      <c r="CU837" s="21"/>
      <c r="CV837" s="21"/>
      <c r="CW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21"/>
      <c r="BT838" s="21"/>
      <c r="BU838" s="21"/>
      <c r="BV838" s="21"/>
      <c r="BW838" s="21"/>
      <c r="BX838" s="21"/>
      <c r="BY838" s="21"/>
      <c r="BZ838" s="21"/>
      <c r="CA838" s="21"/>
      <c r="CB838" s="21"/>
      <c r="CC838" s="21"/>
      <c r="CD838" s="21"/>
      <c r="CE838" s="21"/>
      <c r="CF838" s="21"/>
      <c r="CG838" s="21"/>
      <c r="CH838" s="21"/>
      <c r="CI838" s="21"/>
      <c r="CJ838" s="21"/>
      <c r="CK838" s="21"/>
      <c r="CL838" s="21"/>
      <c r="CM838" s="21"/>
      <c r="CN838" s="21"/>
      <c r="CO838" s="21"/>
      <c r="CP838" s="21"/>
      <c r="CQ838" s="21"/>
      <c r="CR838" s="21"/>
      <c r="CS838" s="21"/>
      <c r="CT838" s="21"/>
      <c r="CU838" s="21"/>
      <c r="CV838" s="21"/>
      <c r="CW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21"/>
      <c r="BT839" s="21"/>
      <c r="BU839" s="21"/>
      <c r="BV839" s="21"/>
      <c r="BW839" s="21"/>
      <c r="BX839" s="21"/>
      <c r="BY839" s="21"/>
      <c r="BZ839" s="21"/>
      <c r="CA839" s="21"/>
      <c r="CB839" s="21"/>
      <c r="CC839" s="21"/>
      <c r="CD839" s="21"/>
      <c r="CE839" s="21"/>
      <c r="CF839" s="21"/>
      <c r="CG839" s="21"/>
      <c r="CH839" s="21"/>
      <c r="CI839" s="21"/>
      <c r="CJ839" s="21"/>
      <c r="CK839" s="21"/>
      <c r="CL839" s="21"/>
      <c r="CM839" s="21"/>
      <c r="CN839" s="21"/>
      <c r="CO839" s="21"/>
      <c r="CP839" s="21"/>
      <c r="CQ839" s="21"/>
      <c r="CR839" s="21"/>
      <c r="CS839" s="21"/>
      <c r="CT839" s="21"/>
      <c r="CU839" s="21"/>
      <c r="CV839" s="21"/>
      <c r="CW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21"/>
      <c r="BT840" s="21"/>
      <c r="BU840" s="21"/>
      <c r="BV840" s="21"/>
      <c r="BW840" s="21"/>
      <c r="BX840" s="21"/>
      <c r="BY840" s="21"/>
      <c r="BZ840" s="21"/>
      <c r="CA840" s="21"/>
      <c r="CB840" s="21"/>
      <c r="CC840" s="21"/>
      <c r="CD840" s="21"/>
      <c r="CE840" s="21"/>
      <c r="CF840" s="21"/>
      <c r="CG840" s="21"/>
      <c r="CH840" s="21"/>
      <c r="CI840" s="21"/>
      <c r="CJ840" s="21"/>
      <c r="CK840" s="21"/>
      <c r="CL840" s="21"/>
      <c r="CM840" s="21"/>
      <c r="CN840" s="21"/>
      <c r="CO840" s="21"/>
      <c r="CP840" s="21"/>
      <c r="CQ840" s="21"/>
      <c r="CR840" s="21"/>
      <c r="CS840" s="21"/>
      <c r="CT840" s="21"/>
      <c r="CU840" s="21"/>
      <c r="CV840" s="21"/>
      <c r="CW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21"/>
      <c r="BT841" s="21"/>
      <c r="BU841" s="21"/>
      <c r="BV841" s="21"/>
      <c r="BW841" s="21"/>
      <c r="BX841" s="21"/>
      <c r="BY841" s="21"/>
      <c r="BZ841" s="21"/>
      <c r="CA841" s="21"/>
      <c r="CB841" s="21"/>
      <c r="CC841" s="21"/>
      <c r="CD841" s="21"/>
      <c r="CE841" s="21"/>
      <c r="CF841" s="21"/>
      <c r="CG841" s="21"/>
      <c r="CH841" s="21"/>
      <c r="CI841" s="21"/>
      <c r="CJ841" s="21"/>
      <c r="CK841" s="21"/>
      <c r="CL841" s="21"/>
      <c r="CM841" s="21"/>
      <c r="CN841" s="21"/>
      <c r="CO841" s="21"/>
      <c r="CP841" s="21"/>
      <c r="CQ841" s="21"/>
      <c r="CR841" s="21"/>
      <c r="CS841" s="21"/>
      <c r="CT841" s="21"/>
      <c r="CU841" s="21"/>
      <c r="CV841" s="21"/>
      <c r="CW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21"/>
      <c r="BT842" s="21"/>
      <c r="BU842" s="21"/>
      <c r="BV842" s="21"/>
      <c r="BW842" s="21"/>
      <c r="BX842" s="21"/>
      <c r="BY842" s="21"/>
      <c r="BZ842" s="21"/>
      <c r="CA842" s="21"/>
      <c r="CB842" s="21"/>
      <c r="CC842" s="21"/>
      <c r="CD842" s="21"/>
      <c r="CE842" s="21"/>
      <c r="CF842" s="21"/>
      <c r="CG842" s="21"/>
      <c r="CH842" s="21"/>
      <c r="CI842" s="21"/>
      <c r="CJ842" s="21"/>
      <c r="CK842" s="21"/>
      <c r="CL842" s="21"/>
      <c r="CM842" s="21"/>
      <c r="CN842" s="21"/>
      <c r="CO842" s="21"/>
      <c r="CP842" s="21"/>
      <c r="CQ842" s="21"/>
      <c r="CR842" s="21"/>
      <c r="CS842" s="21"/>
      <c r="CT842" s="21"/>
      <c r="CU842" s="21"/>
      <c r="CV842" s="21"/>
      <c r="CW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21"/>
      <c r="BT843" s="21"/>
      <c r="BU843" s="21"/>
      <c r="BV843" s="21"/>
      <c r="BW843" s="21"/>
      <c r="BX843" s="21"/>
      <c r="BY843" s="21"/>
      <c r="BZ843" s="21"/>
      <c r="CA843" s="21"/>
      <c r="CB843" s="21"/>
      <c r="CC843" s="21"/>
      <c r="CD843" s="21"/>
      <c r="CE843" s="21"/>
      <c r="CF843" s="21"/>
      <c r="CG843" s="21"/>
      <c r="CH843" s="21"/>
      <c r="CI843" s="21"/>
      <c r="CJ843" s="21"/>
      <c r="CK843" s="21"/>
      <c r="CL843" s="21"/>
      <c r="CM843" s="21"/>
      <c r="CN843" s="21"/>
      <c r="CO843" s="21"/>
      <c r="CP843" s="21"/>
      <c r="CQ843" s="21"/>
      <c r="CR843" s="21"/>
      <c r="CS843" s="21"/>
      <c r="CT843" s="21"/>
      <c r="CU843" s="21"/>
      <c r="CV843" s="21"/>
      <c r="CW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21"/>
      <c r="BT844" s="21"/>
      <c r="BU844" s="21"/>
      <c r="BV844" s="21"/>
      <c r="BW844" s="21"/>
      <c r="BX844" s="21"/>
      <c r="BY844" s="21"/>
      <c r="BZ844" s="21"/>
      <c r="CA844" s="21"/>
      <c r="CB844" s="21"/>
      <c r="CC844" s="21"/>
      <c r="CD844" s="21"/>
      <c r="CE844" s="21"/>
      <c r="CF844" s="21"/>
      <c r="CG844" s="21"/>
      <c r="CH844" s="21"/>
      <c r="CI844" s="21"/>
      <c r="CJ844" s="21"/>
      <c r="CK844" s="21"/>
      <c r="CL844" s="21"/>
      <c r="CM844" s="21"/>
      <c r="CN844" s="21"/>
      <c r="CO844" s="21"/>
      <c r="CP844" s="21"/>
      <c r="CQ844" s="21"/>
      <c r="CR844" s="21"/>
      <c r="CS844" s="21"/>
      <c r="CT844" s="21"/>
      <c r="CU844" s="21"/>
      <c r="CV844" s="21"/>
      <c r="CW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21"/>
      <c r="BT845" s="21"/>
      <c r="BU845" s="21"/>
      <c r="BV845" s="21"/>
      <c r="BW845" s="21"/>
      <c r="BX845" s="21"/>
      <c r="BY845" s="21"/>
      <c r="BZ845" s="21"/>
      <c r="CA845" s="21"/>
      <c r="CB845" s="21"/>
      <c r="CC845" s="21"/>
      <c r="CD845" s="21"/>
      <c r="CE845" s="21"/>
      <c r="CF845" s="21"/>
      <c r="CG845" s="21"/>
      <c r="CH845" s="21"/>
      <c r="CI845" s="21"/>
      <c r="CJ845" s="21"/>
      <c r="CK845" s="21"/>
      <c r="CL845" s="21"/>
      <c r="CM845" s="21"/>
      <c r="CN845" s="21"/>
      <c r="CO845" s="21"/>
      <c r="CP845" s="21"/>
      <c r="CQ845" s="21"/>
      <c r="CR845" s="21"/>
      <c r="CS845" s="21"/>
      <c r="CT845" s="21"/>
      <c r="CU845" s="21"/>
      <c r="CV845" s="21"/>
      <c r="CW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21"/>
      <c r="BT846" s="21"/>
      <c r="BU846" s="21"/>
      <c r="BV846" s="21"/>
      <c r="BW846" s="21"/>
      <c r="BX846" s="21"/>
      <c r="BY846" s="21"/>
      <c r="BZ846" s="21"/>
      <c r="CA846" s="21"/>
      <c r="CB846" s="21"/>
      <c r="CC846" s="21"/>
      <c r="CD846" s="21"/>
      <c r="CE846" s="21"/>
      <c r="CF846" s="21"/>
      <c r="CG846" s="21"/>
      <c r="CH846" s="21"/>
      <c r="CI846" s="21"/>
      <c r="CJ846" s="21"/>
      <c r="CK846" s="21"/>
      <c r="CL846" s="21"/>
      <c r="CM846" s="21"/>
      <c r="CN846" s="21"/>
      <c r="CO846" s="21"/>
      <c r="CP846" s="21"/>
      <c r="CQ846" s="21"/>
      <c r="CR846" s="21"/>
      <c r="CS846" s="21"/>
      <c r="CT846" s="21"/>
      <c r="CU846" s="21"/>
      <c r="CV846" s="21"/>
      <c r="CW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21"/>
      <c r="BT847" s="21"/>
      <c r="BU847" s="21"/>
      <c r="BV847" s="21"/>
      <c r="BW847" s="21"/>
      <c r="BX847" s="21"/>
      <c r="BY847" s="21"/>
      <c r="BZ847" s="21"/>
      <c r="CA847" s="21"/>
      <c r="CB847" s="21"/>
      <c r="CC847" s="21"/>
      <c r="CD847" s="21"/>
      <c r="CE847" s="21"/>
      <c r="CF847" s="21"/>
      <c r="CG847" s="21"/>
      <c r="CH847" s="21"/>
      <c r="CI847" s="21"/>
      <c r="CJ847" s="21"/>
      <c r="CK847" s="21"/>
      <c r="CL847" s="21"/>
      <c r="CM847" s="21"/>
      <c r="CN847" s="21"/>
      <c r="CO847" s="21"/>
      <c r="CP847" s="21"/>
      <c r="CQ847" s="21"/>
      <c r="CR847" s="21"/>
      <c r="CS847" s="21"/>
      <c r="CT847" s="21"/>
      <c r="CU847" s="21"/>
      <c r="CV847" s="21"/>
      <c r="CW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21"/>
      <c r="BT848" s="21"/>
      <c r="BU848" s="21"/>
      <c r="BV848" s="21"/>
      <c r="BW848" s="21"/>
      <c r="BX848" s="21"/>
      <c r="BY848" s="21"/>
      <c r="BZ848" s="21"/>
      <c r="CA848" s="21"/>
      <c r="CB848" s="21"/>
      <c r="CC848" s="21"/>
      <c r="CD848" s="21"/>
      <c r="CE848" s="21"/>
      <c r="CF848" s="21"/>
      <c r="CG848" s="21"/>
      <c r="CH848" s="21"/>
      <c r="CI848" s="21"/>
      <c r="CJ848" s="21"/>
      <c r="CK848" s="21"/>
      <c r="CL848" s="21"/>
      <c r="CM848" s="21"/>
      <c r="CN848" s="21"/>
      <c r="CO848" s="21"/>
      <c r="CP848" s="21"/>
      <c r="CQ848" s="21"/>
      <c r="CR848" s="21"/>
      <c r="CS848" s="21"/>
      <c r="CT848" s="21"/>
      <c r="CU848" s="21"/>
      <c r="CV848" s="21"/>
      <c r="CW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21"/>
      <c r="BT849" s="21"/>
      <c r="BU849" s="21"/>
      <c r="BV849" s="21"/>
      <c r="BW849" s="21"/>
      <c r="BX849" s="21"/>
      <c r="BY849" s="21"/>
      <c r="BZ849" s="21"/>
      <c r="CA849" s="21"/>
      <c r="CB849" s="21"/>
      <c r="CC849" s="21"/>
      <c r="CD849" s="21"/>
      <c r="CE849" s="21"/>
      <c r="CF849" s="21"/>
      <c r="CG849" s="21"/>
      <c r="CH849" s="21"/>
      <c r="CI849" s="21"/>
      <c r="CJ849" s="21"/>
      <c r="CK849" s="21"/>
      <c r="CL849" s="21"/>
      <c r="CM849" s="21"/>
      <c r="CN849" s="21"/>
      <c r="CO849" s="21"/>
      <c r="CP849" s="21"/>
      <c r="CQ849" s="21"/>
      <c r="CR849" s="21"/>
      <c r="CS849" s="21"/>
      <c r="CT849" s="21"/>
      <c r="CU849" s="21"/>
      <c r="CV849" s="21"/>
      <c r="CW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21"/>
      <c r="BT850" s="21"/>
      <c r="BU850" s="21"/>
      <c r="BV850" s="21"/>
      <c r="BW850" s="21"/>
      <c r="BX850" s="21"/>
      <c r="BY850" s="21"/>
      <c r="BZ850" s="21"/>
      <c r="CA850" s="21"/>
      <c r="CB850" s="21"/>
      <c r="CC850" s="21"/>
      <c r="CD850" s="21"/>
      <c r="CE850" s="21"/>
      <c r="CF850" s="21"/>
      <c r="CG850" s="21"/>
      <c r="CH850" s="21"/>
      <c r="CI850" s="21"/>
      <c r="CJ850" s="21"/>
      <c r="CK850" s="21"/>
      <c r="CL850" s="21"/>
      <c r="CM850" s="21"/>
      <c r="CN850" s="21"/>
      <c r="CO850" s="21"/>
      <c r="CP850" s="21"/>
      <c r="CQ850" s="21"/>
      <c r="CR850" s="21"/>
      <c r="CS850" s="21"/>
      <c r="CT850" s="21"/>
      <c r="CU850" s="21"/>
      <c r="CV850" s="21"/>
      <c r="CW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21"/>
      <c r="BT851" s="21"/>
      <c r="BU851" s="21"/>
      <c r="BV851" s="21"/>
      <c r="BW851" s="21"/>
      <c r="BX851" s="21"/>
      <c r="BY851" s="21"/>
      <c r="BZ851" s="21"/>
      <c r="CA851" s="21"/>
      <c r="CB851" s="21"/>
      <c r="CC851" s="21"/>
      <c r="CD851" s="21"/>
      <c r="CE851" s="21"/>
      <c r="CF851" s="21"/>
      <c r="CG851" s="21"/>
      <c r="CH851" s="21"/>
      <c r="CI851" s="21"/>
      <c r="CJ851" s="21"/>
      <c r="CK851" s="21"/>
      <c r="CL851" s="21"/>
      <c r="CM851" s="21"/>
      <c r="CN851" s="21"/>
      <c r="CO851" s="21"/>
      <c r="CP851" s="21"/>
      <c r="CQ851" s="21"/>
      <c r="CR851" s="21"/>
      <c r="CS851" s="21"/>
      <c r="CT851" s="21"/>
      <c r="CU851" s="21"/>
      <c r="CV851" s="21"/>
      <c r="CW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21"/>
      <c r="BT852" s="21"/>
      <c r="BU852" s="21"/>
      <c r="BV852" s="21"/>
      <c r="BW852" s="21"/>
      <c r="BX852" s="21"/>
      <c r="BY852" s="21"/>
      <c r="BZ852" s="21"/>
      <c r="CA852" s="21"/>
      <c r="CB852" s="21"/>
      <c r="CC852" s="21"/>
      <c r="CD852" s="21"/>
      <c r="CE852" s="21"/>
      <c r="CF852" s="21"/>
      <c r="CG852" s="21"/>
      <c r="CH852" s="21"/>
      <c r="CI852" s="21"/>
      <c r="CJ852" s="21"/>
      <c r="CK852" s="21"/>
      <c r="CL852" s="21"/>
      <c r="CM852" s="21"/>
      <c r="CN852" s="21"/>
      <c r="CO852" s="21"/>
      <c r="CP852" s="21"/>
      <c r="CQ852" s="21"/>
      <c r="CR852" s="21"/>
      <c r="CS852" s="21"/>
      <c r="CT852" s="21"/>
      <c r="CU852" s="21"/>
      <c r="CV852" s="21"/>
      <c r="CW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21"/>
      <c r="BT853" s="21"/>
      <c r="BU853" s="21"/>
      <c r="BV853" s="21"/>
      <c r="BW853" s="21"/>
      <c r="BX853" s="21"/>
      <c r="BY853" s="21"/>
      <c r="BZ853" s="21"/>
      <c r="CA853" s="21"/>
      <c r="CB853" s="21"/>
      <c r="CC853" s="21"/>
      <c r="CD853" s="21"/>
      <c r="CE853" s="21"/>
      <c r="CF853" s="21"/>
      <c r="CG853" s="21"/>
      <c r="CH853" s="21"/>
      <c r="CI853" s="21"/>
      <c r="CJ853" s="21"/>
      <c r="CK853" s="21"/>
      <c r="CL853" s="21"/>
      <c r="CM853" s="21"/>
      <c r="CN853" s="21"/>
      <c r="CO853" s="21"/>
      <c r="CP853" s="21"/>
      <c r="CQ853" s="21"/>
      <c r="CR853" s="21"/>
      <c r="CS853" s="21"/>
      <c r="CT853" s="21"/>
      <c r="CU853" s="21"/>
      <c r="CV853" s="21"/>
      <c r="CW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21"/>
      <c r="BT854" s="21"/>
      <c r="BU854" s="21"/>
      <c r="BV854" s="21"/>
      <c r="BW854" s="21"/>
      <c r="BX854" s="21"/>
      <c r="BY854" s="21"/>
      <c r="BZ854" s="21"/>
      <c r="CA854" s="21"/>
      <c r="CB854" s="21"/>
      <c r="CC854" s="21"/>
      <c r="CD854" s="21"/>
      <c r="CE854" s="21"/>
      <c r="CF854" s="21"/>
      <c r="CG854" s="21"/>
      <c r="CH854" s="21"/>
      <c r="CI854" s="21"/>
      <c r="CJ854" s="21"/>
      <c r="CK854" s="21"/>
      <c r="CL854" s="21"/>
      <c r="CM854" s="21"/>
      <c r="CN854" s="21"/>
      <c r="CO854" s="21"/>
      <c r="CP854" s="21"/>
      <c r="CQ854" s="21"/>
      <c r="CR854" s="21"/>
      <c r="CS854" s="21"/>
      <c r="CT854" s="21"/>
      <c r="CU854" s="21"/>
      <c r="CV854" s="21"/>
      <c r="CW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21"/>
      <c r="BT855" s="21"/>
      <c r="BU855" s="21"/>
      <c r="BV855" s="21"/>
      <c r="BW855" s="21"/>
      <c r="BX855" s="21"/>
      <c r="BY855" s="21"/>
      <c r="BZ855" s="21"/>
      <c r="CA855" s="21"/>
      <c r="CB855" s="21"/>
      <c r="CC855" s="21"/>
      <c r="CD855" s="21"/>
      <c r="CE855" s="21"/>
      <c r="CF855" s="21"/>
      <c r="CG855" s="21"/>
      <c r="CH855" s="21"/>
      <c r="CI855" s="21"/>
      <c r="CJ855" s="21"/>
      <c r="CK855" s="21"/>
      <c r="CL855" s="21"/>
      <c r="CM855" s="21"/>
      <c r="CN855" s="21"/>
      <c r="CO855" s="21"/>
      <c r="CP855" s="21"/>
      <c r="CQ855" s="21"/>
      <c r="CR855" s="21"/>
      <c r="CS855" s="21"/>
      <c r="CT855" s="21"/>
      <c r="CU855" s="21"/>
      <c r="CV855" s="21"/>
      <c r="CW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21"/>
      <c r="BT856" s="21"/>
      <c r="BU856" s="21"/>
      <c r="BV856" s="21"/>
      <c r="BW856" s="21"/>
      <c r="BX856" s="21"/>
      <c r="BY856" s="21"/>
      <c r="BZ856" s="21"/>
      <c r="CA856" s="21"/>
      <c r="CB856" s="21"/>
      <c r="CC856" s="21"/>
      <c r="CD856" s="21"/>
      <c r="CE856" s="21"/>
      <c r="CF856" s="21"/>
      <c r="CG856" s="21"/>
      <c r="CH856" s="21"/>
      <c r="CI856" s="21"/>
      <c r="CJ856" s="21"/>
      <c r="CK856" s="21"/>
      <c r="CL856" s="21"/>
      <c r="CM856" s="21"/>
      <c r="CN856" s="21"/>
      <c r="CO856" s="21"/>
      <c r="CP856" s="21"/>
      <c r="CQ856" s="21"/>
      <c r="CR856" s="21"/>
      <c r="CS856" s="21"/>
      <c r="CT856" s="21"/>
      <c r="CU856" s="21"/>
      <c r="CV856" s="21"/>
      <c r="CW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21"/>
      <c r="BT857" s="21"/>
      <c r="BU857" s="21"/>
      <c r="BV857" s="21"/>
      <c r="BW857" s="21"/>
      <c r="BX857" s="21"/>
      <c r="BY857" s="21"/>
      <c r="BZ857" s="21"/>
      <c r="CA857" s="21"/>
      <c r="CB857" s="21"/>
      <c r="CC857" s="21"/>
      <c r="CD857" s="21"/>
      <c r="CE857" s="21"/>
      <c r="CF857" s="21"/>
      <c r="CG857" s="21"/>
      <c r="CH857" s="21"/>
      <c r="CI857" s="21"/>
      <c r="CJ857" s="21"/>
      <c r="CK857" s="21"/>
      <c r="CL857" s="21"/>
      <c r="CM857" s="21"/>
      <c r="CN857" s="21"/>
      <c r="CO857" s="21"/>
      <c r="CP857" s="21"/>
      <c r="CQ857" s="21"/>
      <c r="CR857" s="21"/>
      <c r="CS857" s="21"/>
      <c r="CT857" s="21"/>
      <c r="CU857" s="21"/>
      <c r="CV857" s="21"/>
      <c r="CW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21"/>
      <c r="BT858" s="21"/>
      <c r="BU858" s="21"/>
      <c r="BV858" s="21"/>
      <c r="BW858" s="21"/>
      <c r="BX858" s="21"/>
      <c r="BY858" s="21"/>
      <c r="BZ858" s="21"/>
      <c r="CA858" s="21"/>
      <c r="CB858" s="21"/>
      <c r="CC858" s="21"/>
      <c r="CD858" s="21"/>
      <c r="CE858" s="21"/>
      <c r="CF858" s="21"/>
      <c r="CG858" s="21"/>
      <c r="CH858" s="21"/>
      <c r="CI858" s="21"/>
      <c r="CJ858" s="21"/>
      <c r="CK858" s="21"/>
      <c r="CL858" s="21"/>
      <c r="CM858" s="21"/>
      <c r="CN858" s="21"/>
      <c r="CO858" s="21"/>
      <c r="CP858" s="21"/>
      <c r="CQ858" s="21"/>
      <c r="CR858" s="21"/>
      <c r="CS858" s="21"/>
      <c r="CT858" s="21"/>
      <c r="CU858" s="21"/>
      <c r="CV858" s="21"/>
      <c r="CW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21"/>
      <c r="BT859" s="21"/>
      <c r="BU859" s="21"/>
      <c r="BV859" s="21"/>
      <c r="BW859" s="21"/>
      <c r="BX859" s="21"/>
      <c r="BY859" s="21"/>
      <c r="BZ859" s="21"/>
      <c r="CA859" s="21"/>
      <c r="CB859" s="21"/>
      <c r="CC859" s="21"/>
      <c r="CD859" s="21"/>
      <c r="CE859" s="21"/>
      <c r="CF859" s="21"/>
      <c r="CG859" s="21"/>
      <c r="CH859" s="21"/>
      <c r="CI859" s="21"/>
      <c r="CJ859" s="21"/>
      <c r="CK859" s="21"/>
      <c r="CL859" s="21"/>
      <c r="CM859" s="21"/>
      <c r="CN859" s="21"/>
      <c r="CO859" s="21"/>
      <c r="CP859" s="21"/>
      <c r="CQ859" s="21"/>
      <c r="CR859" s="21"/>
      <c r="CS859" s="21"/>
      <c r="CT859" s="21"/>
      <c r="CU859" s="21"/>
      <c r="CV859" s="21"/>
      <c r="CW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21"/>
      <c r="BT860" s="21"/>
      <c r="BU860" s="21"/>
      <c r="BV860" s="21"/>
      <c r="BW860" s="21"/>
      <c r="BX860" s="21"/>
      <c r="BY860" s="21"/>
      <c r="BZ860" s="21"/>
      <c r="CA860" s="21"/>
      <c r="CB860" s="21"/>
      <c r="CC860" s="21"/>
      <c r="CD860" s="21"/>
      <c r="CE860" s="21"/>
      <c r="CF860" s="21"/>
      <c r="CG860" s="21"/>
      <c r="CH860" s="21"/>
      <c r="CI860" s="21"/>
      <c r="CJ860" s="21"/>
      <c r="CK860" s="21"/>
      <c r="CL860" s="21"/>
      <c r="CM860" s="21"/>
      <c r="CN860" s="21"/>
      <c r="CO860" s="21"/>
      <c r="CP860" s="21"/>
      <c r="CQ860" s="21"/>
      <c r="CR860" s="21"/>
      <c r="CS860" s="21"/>
      <c r="CT860" s="21"/>
      <c r="CU860" s="21"/>
      <c r="CV860" s="21"/>
      <c r="CW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21"/>
      <c r="BT861" s="21"/>
      <c r="BU861" s="21"/>
      <c r="BV861" s="21"/>
      <c r="BW861" s="21"/>
      <c r="BX861" s="21"/>
      <c r="BY861" s="21"/>
      <c r="BZ861" s="21"/>
      <c r="CA861" s="21"/>
      <c r="CB861" s="21"/>
      <c r="CC861" s="21"/>
      <c r="CD861" s="21"/>
      <c r="CE861" s="21"/>
      <c r="CF861" s="21"/>
      <c r="CG861" s="21"/>
      <c r="CH861" s="21"/>
      <c r="CI861" s="21"/>
      <c r="CJ861" s="21"/>
      <c r="CK861" s="21"/>
      <c r="CL861" s="21"/>
      <c r="CM861" s="21"/>
      <c r="CN861" s="21"/>
      <c r="CO861" s="21"/>
      <c r="CP861" s="21"/>
      <c r="CQ861" s="21"/>
      <c r="CR861" s="21"/>
      <c r="CS861" s="21"/>
      <c r="CT861" s="21"/>
      <c r="CU861" s="21"/>
      <c r="CV861" s="21"/>
      <c r="CW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21"/>
      <c r="BT862" s="21"/>
      <c r="BU862" s="21"/>
      <c r="BV862" s="21"/>
      <c r="BW862" s="21"/>
      <c r="BX862" s="21"/>
      <c r="BY862" s="21"/>
      <c r="BZ862" s="21"/>
      <c r="CA862" s="21"/>
      <c r="CB862" s="21"/>
      <c r="CC862" s="21"/>
      <c r="CD862" s="21"/>
      <c r="CE862" s="21"/>
      <c r="CF862" s="21"/>
      <c r="CG862" s="21"/>
      <c r="CH862" s="21"/>
      <c r="CI862" s="21"/>
      <c r="CJ862" s="21"/>
      <c r="CK862" s="21"/>
      <c r="CL862" s="21"/>
      <c r="CM862" s="21"/>
      <c r="CN862" s="21"/>
      <c r="CO862" s="21"/>
      <c r="CP862" s="21"/>
      <c r="CQ862" s="21"/>
      <c r="CR862" s="21"/>
      <c r="CS862" s="21"/>
      <c r="CT862" s="21"/>
      <c r="CU862" s="21"/>
      <c r="CV862" s="21"/>
      <c r="CW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21"/>
      <c r="BT863" s="21"/>
      <c r="BU863" s="21"/>
      <c r="BV863" s="21"/>
      <c r="BW863" s="21"/>
      <c r="BX863" s="21"/>
      <c r="BY863" s="21"/>
      <c r="BZ863" s="21"/>
      <c r="CA863" s="21"/>
      <c r="CB863" s="21"/>
      <c r="CC863" s="21"/>
      <c r="CD863" s="21"/>
      <c r="CE863" s="21"/>
      <c r="CF863" s="21"/>
      <c r="CG863" s="21"/>
      <c r="CH863" s="21"/>
      <c r="CI863" s="21"/>
      <c r="CJ863" s="21"/>
      <c r="CK863" s="21"/>
      <c r="CL863" s="21"/>
      <c r="CM863" s="21"/>
      <c r="CN863" s="21"/>
      <c r="CO863" s="21"/>
      <c r="CP863" s="21"/>
      <c r="CQ863" s="21"/>
      <c r="CR863" s="21"/>
      <c r="CS863" s="21"/>
      <c r="CT863" s="21"/>
      <c r="CU863" s="21"/>
      <c r="CV863" s="21"/>
      <c r="CW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21"/>
      <c r="BT864" s="21"/>
      <c r="BU864" s="21"/>
      <c r="BV864" s="21"/>
      <c r="BW864" s="21"/>
      <c r="BX864" s="21"/>
      <c r="BY864" s="21"/>
      <c r="BZ864" s="21"/>
      <c r="CA864" s="21"/>
      <c r="CB864" s="21"/>
      <c r="CC864" s="21"/>
      <c r="CD864" s="21"/>
      <c r="CE864" s="21"/>
      <c r="CF864" s="21"/>
      <c r="CG864" s="21"/>
      <c r="CH864" s="21"/>
      <c r="CI864" s="21"/>
      <c r="CJ864" s="21"/>
      <c r="CK864" s="21"/>
      <c r="CL864" s="21"/>
      <c r="CM864" s="21"/>
      <c r="CN864" s="21"/>
      <c r="CO864" s="21"/>
      <c r="CP864" s="21"/>
      <c r="CQ864" s="21"/>
      <c r="CR864" s="21"/>
      <c r="CS864" s="21"/>
      <c r="CT864" s="21"/>
      <c r="CU864" s="21"/>
      <c r="CV864" s="21"/>
      <c r="CW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21"/>
      <c r="BT865" s="21"/>
      <c r="BU865" s="21"/>
      <c r="BV865" s="21"/>
      <c r="BW865" s="21"/>
      <c r="BX865" s="21"/>
      <c r="BY865" s="21"/>
      <c r="BZ865" s="21"/>
      <c r="CA865" s="21"/>
      <c r="CB865" s="21"/>
      <c r="CC865" s="21"/>
      <c r="CD865" s="21"/>
      <c r="CE865" s="21"/>
      <c r="CF865" s="21"/>
      <c r="CG865" s="21"/>
      <c r="CH865" s="21"/>
      <c r="CI865" s="21"/>
      <c r="CJ865" s="21"/>
      <c r="CK865" s="21"/>
      <c r="CL865" s="21"/>
      <c r="CM865" s="21"/>
      <c r="CN865" s="21"/>
      <c r="CO865" s="21"/>
      <c r="CP865" s="21"/>
      <c r="CQ865" s="21"/>
      <c r="CR865" s="21"/>
      <c r="CS865" s="21"/>
      <c r="CT865" s="21"/>
      <c r="CU865" s="21"/>
      <c r="CV865" s="21"/>
      <c r="CW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21"/>
      <c r="BT866" s="21"/>
      <c r="BU866" s="21"/>
      <c r="BV866" s="21"/>
      <c r="BW866" s="21"/>
      <c r="BX866" s="21"/>
      <c r="BY866" s="21"/>
      <c r="BZ866" s="21"/>
      <c r="CA866" s="21"/>
      <c r="CB866" s="21"/>
      <c r="CC866" s="21"/>
      <c r="CD866" s="21"/>
      <c r="CE866" s="21"/>
      <c r="CF866" s="21"/>
      <c r="CG866" s="21"/>
      <c r="CH866" s="21"/>
      <c r="CI866" s="21"/>
      <c r="CJ866" s="21"/>
      <c r="CK866" s="21"/>
      <c r="CL866" s="21"/>
      <c r="CM866" s="21"/>
      <c r="CN866" s="21"/>
      <c r="CO866" s="21"/>
      <c r="CP866" s="21"/>
      <c r="CQ866" s="21"/>
      <c r="CR866" s="21"/>
      <c r="CS866" s="21"/>
      <c r="CT866" s="21"/>
      <c r="CU866" s="21"/>
      <c r="CV866" s="21"/>
      <c r="CW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21"/>
      <c r="BT867" s="21"/>
      <c r="BU867" s="21"/>
      <c r="BV867" s="21"/>
      <c r="BW867" s="21"/>
      <c r="BX867" s="21"/>
      <c r="BY867" s="21"/>
      <c r="BZ867" s="21"/>
      <c r="CA867" s="21"/>
      <c r="CB867" s="21"/>
      <c r="CC867" s="21"/>
      <c r="CD867" s="21"/>
      <c r="CE867" s="21"/>
      <c r="CF867" s="21"/>
      <c r="CG867" s="21"/>
      <c r="CH867" s="21"/>
      <c r="CI867" s="21"/>
      <c r="CJ867" s="21"/>
      <c r="CK867" s="21"/>
      <c r="CL867" s="21"/>
      <c r="CM867" s="21"/>
      <c r="CN867" s="21"/>
      <c r="CO867" s="21"/>
      <c r="CP867" s="21"/>
      <c r="CQ867" s="21"/>
      <c r="CR867" s="21"/>
      <c r="CS867" s="21"/>
      <c r="CT867" s="21"/>
      <c r="CU867" s="21"/>
      <c r="CV867" s="21"/>
      <c r="CW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21"/>
      <c r="BT868" s="21"/>
      <c r="BU868" s="21"/>
      <c r="BV868" s="21"/>
      <c r="BW868" s="21"/>
      <c r="BX868" s="21"/>
      <c r="BY868" s="21"/>
      <c r="BZ868" s="21"/>
      <c r="CA868" s="21"/>
      <c r="CB868" s="21"/>
      <c r="CC868" s="21"/>
      <c r="CD868" s="21"/>
      <c r="CE868" s="21"/>
      <c r="CF868" s="21"/>
      <c r="CG868" s="21"/>
      <c r="CH868" s="21"/>
      <c r="CI868" s="21"/>
      <c r="CJ868" s="21"/>
      <c r="CK868" s="21"/>
      <c r="CL868" s="21"/>
      <c r="CM868" s="21"/>
      <c r="CN868" s="21"/>
      <c r="CO868" s="21"/>
      <c r="CP868" s="21"/>
      <c r="CQ868" s="21"/>
      <c r="CR868" s="21"/>
      <c r="CS868" s="21"/>
      <c r="CT868" s="21"/>
      <c r="CU868" s="21"/>
      <c r="CV868" s="21"/>
      <c r="CW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21"/>
      <c r="BT869" s="21"/>
      <c r="BU869" s="21"/>
      <c r="BV869" s="21"/>
      <c r="BW869" s="21"/>
      <c r="BX869" s="21"/>
      <c r="BY869" s="21"/>
      <c r="BZ869" s="21"/>
      <c r="CA869" s="21"/>
      <c r="CB869" s="21"/>
      <c r="CC869" s="21"/>
      <c r="CD869" s="21"/>
      <c r="CE869" s="21"/>
      <c r="CF869" s="21"/>
      <c r="CG869" s="21"/>
      <c r="CH869" s="21"/>
      <c r="CI869" s="21"/>
      <c r="CJ869" s="21"/>
      <c r="CK869" s="21"/>
      <c r="CL869" s="21"/>
      <c r="CM869" s="21"/>
      <c r="CN869" s="21"/>
      <c r="CO869" s="21"/>
      <c r="CP869" s="21"/>
      <c r="CQ869" s="21"/>
      <c r="CR869" s="21"/>
      <c r="CS869" s="21"/>
      <c r="CT869" s="21"/>
      <c r="CU869" s="21"/>
      <c r="CV869" s="21"/>
      <c r="CW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21"/>
      <c r="BT870" s="21"/>
      <c r="BU870" s="21"/>
      <c r="BV870" s="21"/>
      <c r="BW870" s="21"/>
      <c r="BX870" s="21"/>
      <c r="BY870" s="21"/>
      <c r="BZ870" s="21"/>
      <c r="CA870" s="21"/>
      <c r="CB870" s="21"/>
      <c r="CC870" s="21"/>
      <c r="CD870" s="21"/>
      <c r="CE870" s="21"/>
      <c r="CF870" s="21"/>
      <c r="CG870" s="21"/>
      <c r="CH870" s="21"/>
      <c r="CI870" s="21"/>
      <c r="CJ870" s="21"/>
      <c r="CK870" s="21"/>
      <c r="CL870" s="21"/>
      <c r="CM870" s="21"/>
      <c r="CN870" s="21"/>
      <c r="CO870" s="21"/>
      <c r="CP870" s="21"/>
      <c r="CQ870" s="21"/>
      <c r="CR870" s="21"/>
      <c r="CS870" s="21"/>
      <c r="CT870" s="21"/>
      <c r="CU870" s="21"/>
      <c r="CV870" s="21"/>
      <c r="CW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21"/>
      <c r="BT871" s="21"/>
      <c r="BU871" s="21"/>
      <c r="BV871" s="21"/>
      <c r="BW871" s="21"/>
      <c r="BX871" s="21"/>
      <c r="BY871" s="21"/>
      <c r="BZ871" s="21"/>
      <c r="CA871" s="21"/>
      <c r="CB871" s="21"/>
      <c r="CC871" s="21"/>
      <c r="CD871" s="21"/>
      <c r="CE871" s="21"/>
      <c r="CF871" s="21"/>
      <c r="CG871" s="21"/>
      <c r="CH871" s="21"/>
      <c r="CI871" s="21"/>
      <c r="CJ871" s="21"/>
      <c r="CK871" s="21"/>
      <c r="CL871" s="21"/>
      <c r="CM871" s="21"/>
      <c r="CN871" s="21"/>
      <c r="CO871" s="21"/>
      <c r="CP871" s="21"/>
      <c r="CQ871" s="21"/>
      <c r="CR871" s="21"/>
      <c r="CS871" s="21"/>
      <c r="CT871" s="21"/>
      <c r="CU871" s="21"/>
      <c r="CV871" s="21"/>
      <c r="CW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21"/>
      <c r="BT872" s="21"/>
      <c r="BU872" s="21"/>
      <c r="BV872" s="21"/>
      <c r="BW872" s="21"/>
      <c r="BX872" s="21"/>
      <c r="BY872" s="21"/>
      <c r="BZ872" s="21"/>
      <c r="CA872" s="21"/>
      <c r="CB872" s="21"/>
      <c r="CC872" s="21"/>
      <c r="CD872" s="21"/>
      <c r="CE872" s="21"/>
      <c r="CF872" s="21"/>
      <c r="CG872" s="21"/>
      <c r="CH872" s="21"/>
      <c r="CI872" s="21"/>
      <c r="CJ872" s="21"/>
      <c r="CK872" s="21"/>
      <c r="CL872" s="21"/>
      <c r="CM872" s="21"/>
      <c r="CN872" s="21"/>
      <c r="CO872" s="21"/>
      <c r="CP872" s="21"/>
      <c r="CQ872" s="21"/>
      <c r="CR872" s="21"/>
      <c r="CS872" s="21"/>
      <c r="CT872" s="21"/>
      <c r="CU872" s="21"/>
      <c r="CV872" s="21"/>
      <c r="CW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21"/>
      <c r="BT873" s="21"/>
      <c r="BU873" s="21"/>
      <c r="BV873" s="21"/>
      <c r="BW873" s="21"/>
      <c r="BX873" s="21"/>
      <c r="BY873" s="21"/>
      <c r="BZ873" s="21"/>
      <c r="CA873" s="21"/>
      <c r="CB873" s="21"/>
      <c r="CC873" s="21"/>
      <c r="CD873" s="21"/>
      <c r="CE873" s="21"/>
      <c r="CF873" s="21"/>
      <c r="CG873" s="21"/>
      <c r="CH873" s="21"/>
      <c r="CI873" s="21"/>
      <c r="CJ873" s="21"/>
      <c r="CK873" s="21"/>
      <c r="CL873" s="21"/>
      <c r="CM873" s="21"/>
      <c r="CN873" s="21"/>
      <c r="CO873" s="21"/>
      <c r="CP873" s="21"/>
      <c r="CQ873" s="21"/>
      <c r="CR873" s="21"/>
      <c r="CS873" s="21"/>
      <c r="CT873" s="21"/>
      <c r="CU873" s="21"/>
      <c r="CV873" s="21"/>
      <c r="CW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21"/>
      <c r="BT874" s="21"/>
      <c r="BU874" s="21"/>
      <c r="BV874" s="21"/>
      <c r="BW874" s="21"/>
      <c r="BX874" s="21"/>
      <c r="BY874" s="21"/>
      <c r="BZ874" s="21"/>
      <c r="CA874" s="21"/>
      <c r="CB874" s="21"/>
      <c r="CC874" s="21"/>
      <c r="CD874" s="21"/>
      <c r="CE874" s="21"/>
      <c r="CF874" s="21"/>
      <c r="CG874" s="21"/>
      <c r="CH874" s="21"/>
      <c r="CI874" s="21"/>
      <c r="CJ874" s="21"/>
      <c r="CK874" s="21"/>
      <c r="CL874" s="21"/>
      <c r="CM874" s="21"/>
      <c r="CN874" s="21"/>
      <c r="CO874" s="21"/>
      <c r="CP874" s="21"/>
      <c r="CQ874" s="21"/>
      <c r="CR874" s="21"/>
      <c r="CS874" s="21"/>
      <c r="CT874" s="21"/>
      <c r="CU874" s="21"/>
      <c r="CV874" s="21"/>
      <c r="CW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21"/>
      <c r="BT875" s="21"/>
      <c r="BU875" s="21"/>
      <c r="BV875" s="21"/>
      <c r="BW875" s="21"/>
      <c r="BX875" s="21"/>
      <c r="BY875" s="21"/>
      <c r="BZ875" s="21"/>
      <c r="CA875" s="21"/>
      <c r="CB875" s="21"/>
      <c r="CC875" s="21"/>
      <c r="CD875" s="21"/>
      <c r="CE875" s="21"/>
      <c r="CF875" s="21"/>
      <c r="CG875" s="21"/>
      <c r="CH875" s="21"/>
      <c r="CI875" s="21"/>
      <c r="CJ875" s="21"/>
      <c r="CK875" s="21"/>
      <c r="CL875" s="21"/>
      <c r="CM875" s="21"/>
      <c r="CN875" s="21"/>
      <c r="CO875" s="21"/>
      <c r="CP875" s="21"/>
      <c r="CQ875" s="21"/>
      <c r="CR875" s="21"/>
      <c r="CS875" s="21"/>
      <c r="CT875" s="21"/>
      <c r="CU875" s="21"/>
      <c r="CV875" s="21"/>
      <c r="CW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21"/>
      <c r="BT876" s="21"/>
      <c r="BU876" s="21"/>
      <c r="BV876" s="21"/>
      <c r="BW876" s="21"/>
      <c r="BX876" s="21"/>
      <c r="BY876" s="21"/>
      <c r="BZ876" s="21"/>
      <c r="CA876" s="21"/>
      <c r="CB876" s="21"/>
      <c r="CC876" s="21"/>
      <c r="CD876" s="21"/>
      <c r="CE876" s="21"/>
      <c r="CF876" s="21"/>
      <c r="CG876" s="21"/>
      <c r="CH876" s="21"/>
      <c r="CI876" s="21"/>
      <c r="CJ876" s="21"/>
      <c r="CK876" s="21"/>
      <c r="CL876" s="21"/>
      <c r="CM876" s="21"/>
      <c r="CN876" s="21"/>
      <c r="CO876" s="21"/>
      <c r="CP876" s="21"/>
      <c r="CQ876" s="21"/>
      <c r="CR876" s="21"/>
      <c r="CS876" s="21"/>
      <c r="CT876" s="21"/>
      <c r="CU876" s="21"/>
      <c r="CV876" s="21"/>
      <c r="CW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21"/>
      <c r="BT877" s="21"/>
      <c r="BU877" s="21"/>
      <c r="BV877" s="21"/>
      <c r="BW877" s="21"/>
      <c r="BX877" s="21"/>
      <c r="BY877" s="21"/>
      <c r="BZ877" s="21"/>
      <c r="CA877" s="21"/>
      <c r="CB877" s="21"/>
      <c r="CC877" s="21"/>
      <c r="CD877" s="21"/>
      <c r="CE877" s="21"/>
      <c r="CF877" s="21"/>
      <c r="CG877" s="21"/>
      <c r="CH877" s="21"/>
      <c r="CI877" s="21"/>
      <c r="CJ877" s="21"/>
      <c r="CK877" s="21"/>
      <c r="CL877" s="21"/>
      <c r="CM877" s="21"/>
      <c r="CN877" s="21"/>
      <c r="CO877" s="21"/>
      <c r="CP877" s="21"/>
      <c r="CQ877" s="21"/>
      <c r="CR877" s="21"/>
      <c r="CS877" s="21"/>
      <c r="CT877" s="21"/>
      <c r="CU877" s="21"/>
      <c r="CV877" s="21"/>
      <c r="CW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21"/>
      <c r="BT878" s="21"/>
      <c r="BU878" s="21"/>
      <c r="BV878" s="21"/>
      <c r="BW878" s="21"/>
      <c r="BX878" s="21"/>
      <c r="BY878" s="21"/>
      <c r="BZ878" s="21"/>
      <c r="CA878" s="21"/>
      <c r="CB878" s="21"/>
      <c r="CC878" s="21"/>
      <c r="CD878" s="21"/>
      <c r="CE878" s="21"/>
      <c r="CF878" s="21"/>
      <c r="CG878" s="21"/>
      <c r="CH878" s="21"/>
      <c r="CI878" s="21"/>
      <c r="CJ878" s="21"/>
      <c r="CK878" s="21"/>
      <c r="CL878" s="21"/>
      <c r="CM878" s="21"/>
      <c r="CN878" s="21"/>
      <c r="CO878" s="21"/>
      <c r="CP878" s="21"/>
      <c r="CQ878" s="21"/>
      <c r="CR878" s="21"/>
      <c r="CS878" s="21"/>
      <c r="CT878" s="21"/>
      <c r="CU878" s="21"/>
      <c r="CV878" s="21"/>
      <c r="CW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21"/>
      <c r="BT879" s="21"/>
      <c r="BU879" s="21"/>
      <c r="BV879" s="21"/>
      <c r="BW879" s="21"/>
      <c r="BX879" s="21"/>
      <c r="BY879" s="21"/>
      <c r="BZ879" s="21"/>
      <c r="CA879" s="21"/>
      <c r="CB879" s="21"/>
      <c r="CC879" s="21"/>
      <c r="CD879" s="21"/>
      <c r="CE879" s="21"/>
      <c r="CF879" s="21"/>
      <c r="CG879" s="21"/>
      <c r="CH879" s="21"/>
      <c r="CI879" s="21"/>
      <c r="CJ879" s="21"/>
      <c r="CK879" s="21"/>
      <c r="CL879" s="21"/>
      <c r="CM879" s="21"/>
      <c r="CN879" s="21"/>
      <c r="CO879" s="21"/>
      <c r="CP879" s="21"/>
      <c r="CQ879" s="21"/>
      <c r="CR879" s="21"/>
      <c r="CS879" s="21"/>
      <c r="CT879" s="21"/>
      <c r="CU879" s="21"/>
      <c r="CV879" s="21"/>
      <c r="CW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21"/>
      <c r="BT880" s="21"/>
      <c r="BU880" s="21"/>
      <c r="BV880" s="21"/>
      <c r="BW880" s="21"/>
      <c r="BX880" s="21"/>
      <c r="BY880" s="21"/>
      <c r="BZ880" s="21"/>
      <c r="CA880" s="21"/>
      <c r="CB880" s="21"/>
      <c r="CC880" s="21"/>
      <c r="CD880" s="21"/>
      <c r="CE880" s="21"/>
      <c r="CF880" s="21"/>
      <c r="CG880" s="21"/>
      <c r="CH880" s="21"/>
      <c r="CI880" s="21"/>
      <c r="CJ880" s="21"/>
      <c r="CK880" s="21"/>
      <c r="CL880" s="21"/>
      <c r="CM880" s="21"/>
      <c r="CN880" s="21"/>
      <c r="CO880" s="21"/>
      <c r="CP880" s="21"/>
      <c r="CQ880" s="21"/>
      <c r="CR880" s="21"/>
      <c r="CS880" s="21"/>
      <c r="CT880" s="21"/>
      <c r="CU880" s="21"/>
      <c r="CV880" s="21"/>
      <c r="CW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21"/>
      <c r="BT881" s="21"/>
      <c r="BU881" s="21"/>
      <c r="BV881" s="21"/>
      <c r="BW881" s="21"/>
      <c r="BX881" s="21"/>
      <c r="BY881" s="21"/>
      <c r="BZ881" s="21"/>
      <c r="CA881" s="21"/>
      <c r="CB881" s="21"/>
      <c r="CC881" s="21"/>
      <c r="CD881" s="21"/>
      <c r="CE881" s="21"/>
      <c r="CF881" s="21"/>
      <c r="CG881" s="21"/>
      <c r="CH881" s="21"/>
      <c r="CI881" s="21"/>
      <c r="CJ881" s="21"/>
      <c r="CK881" s="21"/>
      <c r="CL881" s="21"/>
      <c r="CM881" s="21"/>
      <c r="CN881" s="21"/>
      <c r="CO881" s="21"/>
      <c r="CP881" s="21"/>
      <c r="CQ881" s="21"/>
      <c r="CR881" s="21"/>
      <c r="CS881" s="21"/>
      <c r="CT881" s="21"/>
      <c r="CU881" s="21"/>
      <c r="CV881" s="21"/>
      <c r="CW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21"/>
      <c r="BT882" s="21"/>
      <c r="BU882" s="21"/>
      <c r="BV882" s="21"/>
      <c r="BW882" s="21"/>
      <c r="BX882" s="21"/>
      <c r="BY882" s="21"/>
      <c r="BZ882" s="21"/>
      <c r="CA882" s="21"/>
      <c r="CB882" s="21"/>
      <c r="CC882" s="21"/>
      <c r="CD882" s="21"/>
      <c r="CE882" s="21"/>
      <c r="CF882" s="21"/>
      <c r="CG882" s="21"/>
      <c r="CH882" s="21"/>
      <c r="CI882" s="21"/>
      <c r="CJ882" s="21"/>
      <c r="CK882" s="21"/>
      <c r="CL882" s="21"/>
      <c r="CM882" s="21"/>
      <c r="CN882" s="21"/>
      <c r="CO882" s="21"/>
      <c r="CP882" s="21"/>
      <c r="CQ882" s="21"/>
      <c r="CR882" s="21"/>
      <c r="CS882" s="21"/>
      <c r="CT882" s="21"/>
      <c r="CU882" s="21"/>
      <c r="CV882" s="21"/>
      <c r="CW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21"/>
      <c r="BT883" s="21"/>
      <c r="BU883" s="21"/>
      <c r="BV883" s="21"/>
      <c r="BW883" s="21"/>
      <c r="BX883" s="21"/>
      <c r="BY883" s="21"/>
      <c r="BZ883" s="21"/>
      <c r="CA883" s="21"/>
      <c r="CB883" s="21"/>
      <c r="CC883" s="21"/>
      <c r="CD883" s="21"/>
      <c r="CE883" s="21"/>
      <c r="CF883" s="21"/>
      <c r="CG883" s="21"/>
      <c r="CH883" s="21"/>
      <c r="CI883" s="21"/>
      <c r="CJ883" s="21"/>
      <c r="CK883" s="21"/>
      <c r="CL883" s="21"/>
      <c r="CM883" s="21"/>
      <c r="CN883" s="21"/>
      <c r="CO883" s="21"/>
      <c r="CP883" s="21"/>
      <c r="CQ883" s="21"/>
      <c r="CR883" s="21"/>
      <c r="CS883" s="21"/>
      <c r="CT883" s="21"/>
      <c r="CU883" s="21"/>
      <c r="CV883" s="21"/>
      <c r="CW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21"/>
      <c r="BT884" s="21"/>
      <c r="BU884" s="21"/>
      <c r="BV884" s="21"/>
      <c r="BW884" s="21"/>
      <c r="BX884" s="21"/>
      <c r="BY884" s="21"/>
      <c r="BZ884" s="21"/>
      <c r="CA884" s="21"/>
      <c r="CB884" s="21"/>
      <c r="CC884" s="21"/>
      <c r="CD884" s="21"/>
      <c r="CE884" s="21"/>
      <c r="CF884" s="21"/>
      <c r="CG884" s="21"/>
      <c r="CH884" s="21"/>
      <c r="CI884" s="21"/>
      <c r="CJ884" s="21"/>
      <c r="CK884" s="21"/>
      <c r="CL884" s="21"/>
      <c r="CM884" s="21"/>
      <c r="CN884" s="21"/>
      <c r="CO884" s="21"/>
      <c r="CP884" s="21"/>
      <c r="CQ884" s="21"/>
      <c r="CR884" s="21"/>
      <c r="CS884" s="21"/>
      <c r="CT884" s="21"/>
      <c r="CU884" s="21"/>
      <c r="CV884" s="21"/>
      <c r="CW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21"/>
      <c r="BT885" s="21"/>
      <c r="BU885" s="21"/>
      <c r="BV885" s="21"/>
      <c r="BW885" s="21"/>
      <c r="BX885" s="21"/>
      <c r="BY885" s="21"/>
      <c r="BZ885" s="21"/>
      <c r="CA885" s="21"/>
      <c r="CB885" s="21"/>
      <c r="CC885" s="21"/>
      <c r="CD885" s="21"/>
      <c r="CE885" s="21"/>
      <c r="CF885" s="21"/>
      <c r="CG885" s="21"/>
      <c r="CH885" s="21"/>
      <c r="CI885" s="21"/>
      <c r="CJ885" s="21"/>
      <c r="CK885" s="21"/>
      <c r="CL885" s="21"/>
      <c r="CM885" s="21"/>
      <c r="CN885" s="21"/>
      <c r="CO885" s="21"/>
      <c r="CP885" s="21"/>
      <c r="CQ885" s="21"/>
      <c r="CR885" s="21"/>
      <c r="CS885" s="21"/>
      <c r="CT885" s="21"/>
      <c r="CU885" s="21"/>
      <c r="CV885" s="21"/>
      <c r="CW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21"/>
      <c r="BT886" s="21"/>
      <c r="BU886" s="21"/>
      <c r="BV886" s="21"/>
      <c r="BW886" s="21"/>
      <c r="BX886" s="21"/>
      <c r="BY886" s="21"/>
      <c r="BZ886" s="21"/>
      <c r="CA886" s="21"/>
      <c r="CB886" s="21"/>
      <c r="CC886" s="21"/>
      <c r="CD886" s="21"/>
      <c r="CE886" s="21"/>
      <c r="CF886" s="21"/>
      <c r="CG886" s="21"/>
      <c r="CH886" s="21"/>
      <c r="CI886" s="21"/>
      <c r="CJ886" s="21"/>
      <c r="CK886" s="21"/>
      <c r="CL886" s="21"/>
      <c r="CM886" s="21"/>
      <c r="CN886" s="21"/>
      <c r="CO886" s="21"/>
      <c r="CP886" s="21"/>
      <c r="CQ886" s="21"/>
      <c r="CR886" s="21"/>
      <c r="CS886" s="21"/>
      <c r="CT886" s="21"/>
      <c r="CU886" s="21"/>
      <c r="CV886" s="21"/>
      <c r="CW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21"/>
      <c r="BT887" s="21"/>
      <c r="BU887" s="21"/>
      <c r="BV887" s="21"/>
      <c r="BW887" s="21"/>
      <c r="BX887" s="21"/>
      <c r="BY887" s="21"/>
      <c r="BZ887" s="21"/>
      <c r="CA887" s="21"/>
      <c r="CB887" s="21"/>
      <c r="CC887" s="21"/>
      <c r="CD887" s="21"/>
      <c r="CE887" s="21"/>
      <c r="CF887" s="21"/>
      <c r="CG887" s="21"/>
      <c r="CH887" s="21"/>
      <c r="CI887" s="21"/>
      <c r="CJ887" s="21"/>
      <c r="CK887" s="21"/>
      <c r="CL887" s="21"/>
      <c r="CM887" s="21"/>
      <c r="CN887" s="21"/>
      <c r="CO887" s="21"/>
      <c r="CP887" s="21"/>
      <c r="CQ887" s="21"/>
      <c r="CR887" s="21"/>
      <c r="CS887" s="21"/>
      <c r="CT887" s="21"/>
      <c r="CU887" s="21"/>
      <c r="CV887" s="21"/>
      <c r="CW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21"/>
      <c r="BT888" s="21"/>
      <c r="BU888" s="21"/>
      <c r="BV888" s="21"/>
      <c r="BW888" s="21"/>
      <c r="BX888" s="21"/>
      <c r="BY888" s="21"/>
      <c r="BZ888" s="21"/>
      <c r="CA888" s="21"/>
      <c r="CB888" s="21"/>
      <c r="CC888" s="21"/>
      <c r="CD888" s="21"/>
      <c r="CE888" s="21"/>
      <c r="CF888" s="21"/>
      <c r="CG888" s="21"/>
      <c r="CH888" s="21"/>
      <c r="CI888" s="21"/>
      <c r="CJ888" s="21"/>
      <c r="CK888" s="21"/>
      <c r="CL888" s="21"/>
      <c r="CM888" s="21"/>
      <c r="CN888" s="21"/>
      <c r="CO888" s="21"/>
      <c r="CP888" s="21"/>
      <c r="CQ888" s="21"/>
      <c r="CR888" s="21"/>
      <c r="CS888" s="21"/>
      <c r="CT888" s="21"/>
      <c r="CU888" s="21"/>
      <c r="CV888" s="21"/>
      <c r="CW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21"/>
      <c r="BT889" s="21"/>
      <c r="BU889" s="21"/>
      <c r="BV889" s="21"/>
      <c r="BW889" s="21"/>
      <c r="BX889" s="21"/>
      <c r="BY889" s="21"/>
      <c r="BZ889" s="21"/>
      <c r="CA889" s="21"/>
      <c r="CB889" s="21"/>
      <c r="CC889" s="21"/>
      <c r="CD889" s="21"/>
      <c r="CE889" s="21"/>
      <c r="CF889" s="21"/>
      <c r="CG889" s="21"/>
      <c r="CH889" s="21"/>
      <c r="CI889" s="21"/>
      <c r="CJ889" s="21"/>
      <c r="CK889" s="21"/>
      <c r="CL889" s="21"/>
      <c r="CM889" s="21"/>
      <c r="CN889" s="21"/>
      <c r="CO889" s="21"/>
      <c r="CP889" s="21"/>
      <c r="CQ889" s="21"/>
      <c r="CR889" s="21"/>
      <c r="CS889" s="21"/>
      <c r="CT889" s="21"/>
      <c r="CU889" s="21"/>
      <c r="CV889" s="21"/>
      <c r="CW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21"/>
      <c r="BT890" s="21"/>
      <c r="BU890" s="21"/>
      <c r="BV890" s="21"/>
      <c r="BW890" s="21"/>
      <c r="BX890" s="21"/>
      <c r="BY890" s="21"/>
      <c r="BZ890" s="21"/>
      <c r="CA890" s="21"/>
      <c r="CB890" s="21"/>
      <c r="CC890" s="21"/>
      <c r="CD890" s="21"/>
      <c r="CE890" s="21"/>
      <c r="CF890" s="21"/>
      <c r="CG890" s="21"/>
      <c r="CH890" s="21"/>
      <c r="CI890" s="21"/>
      <c r="CJ890" s="21"/>
      <c r="CK890" s="21"/>
      <c r="CL890" s="21"/>
      <c r="CM890" s="21"/>
      <c r="CN890" s="21"/>
      <c r="CO890" s="21"/>
      <c r="CP890" s="21"/>
      <c r="CQ890" s="21"/>
      <c r="CR890" s="21"/>
      <c r="CS890" s="21"/>
      <c r="CT890" s="21"/>
      <c r="CU890" s="21"/>
      <c r="CV890" s="21"/>
      <c r="CW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21"/>
      <c r="BT891" s="21"/>
      <c r="BU891" s="21"/>
      <c r="BV891" s="21"/>
      <c r="BW891" s="21"/>
      <c r="BX891" s="21"/>
      <c r="BY891" s="21"/>
      <c r="BZ891" s="21"/>
      <c r="CA891" s="21"/>
      <c r="CB891" s="21"/>
      <c r="CC891" s="21"/>
      <c r="CD891" s="21"/>
      <c r="CE891" s="21"/>
      <c r="CF891" s="21"/>
      <c r="CG891" s="21"/>
      <c r="CH891" s="21"/>
      <c r="CI891" s="21"/>
      <c r="CJ891" s="21"/>
      <c r="CK891" s="21"/>
      <c r="CL891" s="21"/>
      <c r="CM891" s="21"/>
      <c r="CN891" s="21"/>
      <c r="CO891" s="21"/>
      <c r="CP891" s="21"/>
      <c r="CQ891" s="21"/>
      <c r="CR891" s="21"/>
      <c r="CS891" s="21"/>
      <c r="CT891" s="21"/>
      <c r="CU891" s="21"/>
      <c r="CV891" s="21"/>
      <c r="CW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21"/>
      <c r="BT892" s="21"/>
      <c r="BU892" s="21"/>
      <c r="BV892" s="21"/>
      <c r="BW892" s="21"/>
      <c r="BX892" s="21"/>
      <c r="BY892" s="21"/>
      <c r="BZ892" s="21"/>
      <c r="CA892" s="21"/>
      <c r="CB892" s="21"/>
      <c r="CC892" s="21"/>
      <c r="CD892" s="21"/>
      <c r="CE892" s="21"/>
      <c r="CF892" s="21"/>
      <c r="CG892" s="21"/>
      <c r="CH892" s="21"/>
      <c r="CI892" s="21"/>
      <c r="CJ892" s="21"/>
      <c r="CK892" s="21"/>
      <c r="CL892" s="21"/>
      <c r="CM892" s="21"/>
      <c r="CN892" s="21"/>
      <c r="CO892" s="21"/>
      <c r="CP892" s="21"/>
      <c r="CQ892" s="21"/>
      <c r="CR892" s="21"/>
      <c r="CS892" s="21"/>
      <c r="CT892" s="21"/>
      <c r="CU892" s="21"/>
      <c r="CV892" s="21"/>
      <c r="CW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21"/>
      <c r="BT893" s="21"/>
      <c r="BU893" s="21"/>
      <c r="BV893" s="21"/>
      <c r="BW893" s="21"/>
      <c r="BX893" s="21"/>
      <c r="BY893" s="21"/>
      <c r="BZ893" s="21"/>
      <c r="CA893" s="21"/>
      <c r="CB893" s="21"/>
      <c r="CC893" s="21"/>
      <c r="CD893" s="21"/>
      <c r="CE893" s="21"/>
      <c r="CF893" s="21"/>
      <c r="CG893" s="21"/>
      <c r="CH893" s="21"/>
      <c r="CI893" s="21"/>
      <c r="CJ893" s="21"/>
      <c r="CK893" s="21"/>
      <c r="CL893" s="21"/>
      <c r="CM893" s="21"/>
      <c r="CN893" s="21"/>
      <c r="CO893" s="21"/>
      <c r="CP893" s="21"/>
      <c r="CQ893" s="21"/>
      <c r="CR893" s="21"/>
      <c r="CS893" s="21"/>
      <c r="CT893" s="21"/>
      <c r="CU893" s="21"/>
      <c r="CV893" s="21"/>
      <c r="CW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21"/>
      <c r="BT894" s="21"/>
      <c r="BU894" s="21"/>
      <c r="BV894" s="21"/>
      <c r="BW894" s="21"/>
      <c r="BX894" s="21"/>
      <c r="BY894" s="21"/>
      <c r="BZ894" s="21"/>
      <c r="CA894" s="21"/>
      <c r="CB894" s="21"/>
      <c r="CC894" s="21"/>
      <c r="CD894" s="21"/>
      <c r="CE894" s="21"/>
      <c r="CF894" s="21"/>
      <c r="CG894" s="21"/>
      <c r="CH894" s="21"/>
      <c r="CI894" s="21"/>
      <c r="CJ894" s="21"/>
      <c r="CK894" s="21"/>
      <c r="CL894" s="21"/>
      <c r="CM894" s="21"/>
      <c r="CN894" s="21"/>
      <c r="CO894" s="21"/>
      <c r="CP894" s="21"/>
      <c r="CQ894" s="21"/>
      <c r="CR894" s="21"/>
      <c r="CS894" s="21"/>
      <c r="CT894" s="21"/>
      <c r="CU894" s="21"/>
      <c r="CV894" s="21"/>
      <c r="CW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21"/>
      <c r="BT895" s="21"/>
      <c r="BU895" s="21"/>
      <c r="BV895" s="21"/>
      <c r="BW895" s="21"/>
      <c r="BX895" s="21"/>
      <c r="BY895" s="21"/>
      <c r="BZ895" s="21"/>
      <c r="CA895" s="21"/>
      <c r="CB895" s="21"/>
      <c r="CC895" s="21"/>
      <c r="CD895" s="21"/>
      <c r="CE895" s="21"/>
      <c r="CF895" s="21"/>
      <c r="CG895" s="21"/>
      <c r="CH895" s="21"/>
      <c r="CI895" s="21"/>
      <c r="CJ895" s="21"/>
      <c r="CK895" s="21"/>
      <c r="CL895" s="21"/>
      <c r="CM895" s="21"/>
      <c r="CN895" s="21"/>
      <c r="CO895" s="21"/>
      <c r="CP895" s="21"/>
      <c r="CQ895" s="21"/>
      <c r="CR895" s="21"/>
      <c r="CS895" s="21"/>
      <c r="CT895" s="21"/>
      <c r="CU895" s="21"/>
      <c r="CV895" s="21"/>
      <c r="CW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21"/>
      <c r="BT896" s="21"/>
      <c r="BU896" s="21"/>
      <c r="BV896" s="21"/>
      <c r="BW896" s="21"/>
      <c r="BX896" s="21"/>
      <c r="BY896" s="21"/>
      <c r="BZ896" s="21"/>
      <c r="CA896" s="21"/>
      <c r="CB896" s="21"/>
      <c r="CC896" s="21"/>
      <c r="CD896" s="21"/>
      <c r="CE896" s="21"/>
      <c r="CF896" s="21"/>
      <c r="CG896" s="21"/>
      <c r="CH896" s="21"/>
      <c r="CI896" s="21"/>
      <c r="CJ896" s="21"/>
      <c r="CK896" s="21"/>
      <c r="CL896" s="21"/>
      <c r="CM896" s="21"/>
      <c r="CN896" s="21"/>
      <c r="CO896" s="21"/>
      <c r="CP896" s="21"/>
      <c r="CQ896" s="21"/>
      <c r="CR896" s="21"/>
      <c r="CS896" s="21"/>
      <c r="CT896" s="21"/>
      <c r="CU896" s="21"/>
      <c r="CV896" s="21"/>
      <c r="CW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21"/>
      <c r="BT897" s="21"/>
      <c r="BU897" s="21"/>
      <c r="BV897" s="21"/>
      <c r="BW897" s="21"/>
      <c r="BX897" s="21"/>
      <c r="BY897" s="21"/>
      <c r="BZ897" s="21"/>
      <c r="CA897" s="21"/>
      <c r="CB897" s="21"/>
      <c r="CC897" s="21"/>
      <c r="CD897" s="21"/>
      <c r="CE897" s="21"/>
      <c r="CF897" s="21"/>
      <c r="CG897" s="21"/>
      <c r="CH897" s="21"/>
      <c r="CI897" s="21"/>
      <c r="CJ897" s="21"/>
      <c r="CK897" s="21"/>
      <c r="CL897" s="21"/>
      <c r="CM897" s="21"/>
      <c r="CN897" s="21"/>
      <c r="CO897" s="21"/>
      <c r="CP897" s="21"/>
      <c r="CQ897" s="21"/>
      <c r="CR897" s="21"/>
      <c r="CS897" s="21"/>
      <c r="CT897" s="21"/>
      <c r="CU897" s="21"/>
      <c r="CV897" s="21"/>
      <c r="CW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21"/>
      <c r="BT898" s="21"/>
      <c r="BU898" s="21"/>
      <c r="BV898" s="21"/>
      <c r="BW898" s="21"/>
      <c r="BX898" s="21"/>
      <c r="BY898" s="21"/>
      <c r="BZ898" s="21"/>
      <c r="CA898" s="21"/>
      <c r="CB898" s="21"/>
      <c r="CC898" s="21"/>
      <c r="CD898" s="21"/>
      <c r="CE898" s="21"/>
      <c r="CF898" s="21"/>
      <c r="CG898" s="21"/>
      <c r="CH898" s="21"/>
      <c r="CI898" s="21"/>
      <c r="CJ898" s="21"/>
      <c r="CK898" s="21"/>
      <c r="CL898" s="21"/>
      <c r="CM898" s="21"/>
      <c r="CN898" s="21"/>
      <c r="CO898" s="21"/>
      <c r="CP898" s="21"/>
      <c r="CQ898" s="21"/>
      <c r="CR898" s="21"/>
      <c r="CS898" s="21"/>
      <c r="CT898" s="21"/>
      <c r="CU898" s="21"/>
      <c r="CV898" s="21"/>
      <c r="CW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21"/>
      <c r="BT899" s="21"/>
      <c r="BU899" s="21"/>
      <c r="BV899" s="21"/>
      <c r="BW899" s="21"/>
      <c r="BX899" s="21"/>
      <c r="BY899" s="21"/>
      <c r="BZ899" s="21"/>
      <c r="CA899" s="21"/>
      <c r="CB899" s="21"/>
      <c r="CC899" s="21"/>
      <c r="CD899" s="21"/>
      <c r="CE899" s="21"/>
      <c r="CF899" s="21"/>
      <c r="CG899" s="21"/>
      <c r="CH899" s="21"/>
      <c r="CI899" s="21"/>
      <c r="CJ899" s="21"/>
      <c r="CK899" s="21"/>
      <c r="CL899" s="21"/>
      <c r="CM899" s="21"/>
      <c r="CN899" s="21"/>
      <c r="CO899" s="21"/>
      <c r="CP899" s="21"/>
      <c r="CQ899" s="21"/>
      <c r="CR899" s="21"/>
      <c r="CS899" s="21"/>
      <c r="CT899" s="21"/>
      <c r="CU899" s="21"/>
      <c r="CV899" s="21"/>
      <c r="CW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21"/>
      <c r="BT900" s="21"/>
      <c r="BU900" s="21"/>
      <c r="BV900" s="21"/>
      <c r="BW900" s="21"/>
      <c r="BX900" s="21"/>
      <c r="BY900" s="21"/>
      <c r="BZ900" s="21"/>
      <c r="CA900" s="21"/>
      <c r="CB900" s="21"/>
      <c r="CC900" s="21"/>
      <c r="CD900" s="21"/>
      <c r="CE900" s="21"/>
      <c r="CF900" s="21"/>
      <c r="CG900" s="21"/>
      <c r="CH900" s="21"/>
      <c r="CI900" s="21"/>
      <c r="CJ900" s="21"/>
      <c r="CK900" s="21"/>
      <c r="CL900" s="21"/>
      <c r="CM900" s="21"/>
      <c r="CN900" s="21"/>
      <c r="CO900" s="21"/>
      <c r="CP900" s="21"/>
      <c r="CQ900" s="21"/>
      <c r="CR900" s="21"/>
      <c r="CS900" s="21"/>
      <c r="CT900" s="21"/>
      <c r="CU900" s="21"/>
      <c r="CV900" s="21"/>
      <c r="CW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21"/>
      <c r="BT901" s="21"/>
      <c r="BU901" s="21"/>
      <c r="BV901" s="21"/>
      <c r="BW901" s="21"/>
      <c r="BX901" s="21"/>
      <c r="BY901" s="21"/>
      <c r="BZ901" s="21"/>
      <c r="CA901" s="21"/>
      <c r="CB901" s="21"/>
      <c r="CC901" s="21"/>
      <c r="CD901" s="21"/>
      <c r="CE901" s="21"/>
      <c r="CF901" s="21"/>
      <c r="CG901" s="21"/>
      <c r="CH901" s="21"/>
      <c r="CI901" s="21"/>
      <c r="CJ901" s="21"/>
      <c r="CK901" s="21"/>
      <c r="CL901" s="21"/>
      <c r="CM901" s="21"/>
      <c r="CN901" s="21"/>
      <c r="CO901" s="21"/>
      <c r="CP901" s="21"/>
      <c r="CQ901" s="21"/>
      <c r="CR901" s="21"/>
      <c r="CS901" s="21"/>
      <c r="CT901" s="21"/>
      <c r="CU901" s="21"/>
      <c r="CV901" s="21"/>
      <c r="CW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21"/>
      <c r="BT902" s="21"/>
      <c r="BU902" s="21"/>
      <c r="BV902" s="21"/>
      <c r="BW902" s="21"/>
      <c r="BX902" s="21"/>
      <c r="BY902" s="21"/>
      <c r="BZ902" s="21"/>
      <c r="CA902" s="21"/>
      <c r="CB902" s="21"/>
      <c r="CC902" s="21"/>
      <c r="CD902" s="21"/>
      <c r="CE902" s="21"/>
      <c r="CF902" s="21"/>
      <c r="CG902" s="21"/>
      <c r="CH902" s="21"/>
      <c r="CI902" s="21"/>
      <c r="CJ902" s="21"/>
      <c r="CK902" s="21"/>
      <c r="CL902" s="21"/>
      <c r="CM902" s="21"/>
      <c r="CN902" s="21"/>
      <c r="CO902" s="21"/>
      <c r="CP902" s="21"/>
      <c r="CQ902" s="21"/>
      <c r="CR902" s="21"/>
      <c r="CS902" s="21"/>
      <c r="CT902" s="21"/>
      <c r="CU902" s="21"/>
      <c r="CV902" s="21"/>
      <c r="CW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21"/>
      <c r="BT903" s="21"/>
      <c r="BU903" s="21"/>
      <c r="BV903" s="21"/>
      <c r="BW903" s="21"/>
      <c r="BX903" s="21"/>
      <c r="BY903" s="21"/>
      <c r="BZ903" s="21"/>
      <c r="CA903" s="21"/>
      <c r="CB903" s="21"/>
      <c r="CC903" s="21"/>
      <c r="CD903" s="21"/>
      <c r="CE903" s="21"/>
      <c r="CF903" s="21"/>
      <c r="CG903" s="21"/>
      <c r="CH903" s="21"/>
      <c r="CI903" s="21"/>
      <c r="CJ903" s="21"/>
      <c r="CK903" s="21"/>
      <c r="CL903" s="21"/>
      <c r="CM903" s="21"/>
      <c r="CN903" s="21"/>
      <c r="CO903" s="21"/>
      <c r="CP903" s="21"/>
      <c r="CQ903" s="21"/>
      <c r="CR903" s="21"/>
      <c r="CS903" s="21"/>
      <c r="CT903" s="21"/>
      <c r="CU903" s="21"/>
      <c r="CV903" s="21"/>
      <c r="CW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21"/>
      <c r="BT904" s="21"/>
      <c r="BU904" s="21"/>
      <c r="BV904" s="21"/>
      <c r="BW904" s="21"/>
      <c r="BX904" s="21"/>
      <c r="BY904" s="21"/>
      <c r="BZ904" s="21"/>
      <c r="CA904" s="21"/>
      <c r="CB904" s="21"/>
      <c r="CC904" s="21"/>
      <c r="CD904" s="21"/>
      <c r="CE904" s="21"/>
      <c r="CF904" s="21"/>
      <c r="CG904" s="21"/>
      <c r="CH904" s="21"/>
      <c r="CI904" s="21"/>
      <c r="CJ904" s="21"/>
      <c r="CK904" s="21"/>
      <c r="CL904" s="21"/>
      <c r="CM904" s="21"/>
      <c r="CN904" s="21"/>
      <c r="CO904" s="21"/>
      <c r="CP904" s="21"/>
      <c r="CQ904" s="21"/>
      <c r="CR904" s="21"/>
      <c r="CS904" s="21"/>
      <c r="CT904" s="21"/>
      <c r="CU904" s="21"/>
      <c r="CV904" s="21"/>
      <c r="CW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21"/>
      <c r="BT905" s="21"/>
      <c r="BU905" s="21"/>
      <c r="BV905" s="21"/>
      <c r="BW905" s="21"/>
      <c r="BX905" s="21"/>
      <c r="BY905" s="21"/>
      <c r="BZ905" s="21"/>
      <c r="CA905" s="21"/>
      <c r="CB905" s="21"/>
      <c r="CC905" s="21"/>
      <c r="CD905" s="21"/>
      <c r="CE905" s="21"/>
      <c r="CF905" s="21"/>
      <c r="CG905" s="21"/>
      <c r="CH905" s="21"/>
      <c r="CI905" s="21"/>
      <c r="CJ905" s="21"/>
      <c r="CK905" s="21"/>
      <c r="CL905" s="21"/>
      <c r="CM905" s="21"/>
      <c r="CN905" s="21"/>
      <c r="CO905" s="21"/>
      <c r="CP905" s="21"/>
      <c r="CQ905" s="21"/>
      <c r="CR905" s="21"/>
      <c r="CS905" s="21"/>
      <c r="CT905" s="21"/>
      <c r="CU905" s="21"/>
      <c r="CV905" s="21"/>
      <c r="CW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21"/>
      <c r="BT906" s="21"/>
      <c r="BU906" s="21"/>
      <c r="BV906" s="21"/>
      <c r="BW906" s="21"/>
      <c r="BX906" s="21"/>
      <c r="BY906" s="21"/>
      <c r="BZ906" s="21"/>
      <c r="CA906" s="21"/>
      <c r="CB906" s="21"/>
      <c r="CC906" s="21"/>
      <c r="CD906" s="21"/>
      <c r="CE906" s="21"/>
      <c r="CF906" s="21"/>
      <c r="CG906" s="21"/>
      <c r="CH906" s="21"/>
      <c r="CI906" s="21"/>
      <c r="CJ906" s="21"/>
      <c r="CK906" s="21"/>
      <c r="CL906" s="21"/>
      <c r="CM906" s="21"/>
      <c r="CN906" s="21"/>
      <c r="CO906" s="21"/>
      <c r="CP906" s="21"/>
      <c r="CQ906" s="21"/>
      <c r="CR906" s="21"/>
      <c r="CS906" s="21"/>
      <c r="CT906" s="21"/>
      <c r="CU906" s="21"/>
      <c r="CV906" s="21"/>
      <c r="CW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21"/>
      <c r="BT907" s="21"/>
      <c r="BU907" s="21"/>
      <c r="BV907" s="21"/>
      <c r="BW907" s="21"/>
      <c r="BX907" s="21"/>
      <c r="BY907" s="21"/>
      <c r="BZ907" s="21"/>
      <c r="CA907" s="21"/>
      <c r="CB907" s="21"/>
      <c r="CC907" s="21"/>
      <c r="CD907" s="21"/>
      <c r="CE907" s="21"/>
      <c r="CF907" s="21"/>
      <c r="CG907" s="21"/>
      <c r="CH907" s="21"/>
      <c r="CI907" s="21"/>
      <c r="CJ907" s="21"/>
      <c r="CK907" s="21"/>
      <c r="CL907" s="21"/>
      <c r="CM907" s="21"/>
      <c r="CN907" s="21"/>
      <c r="CO907" s="21"/>
      <c r="CP907" s="21"/>
      <c r="CQ907" s="21"/>
      <c r="CR907" s="21"/>
      <c r="CS907" s="21"/>
      <c r="CT907" s="21"/>
      <c r="CU907" s="21"/>
      <c r="CV907" s="21"/>
      <c r="CW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21"/>
      <c r="BT908" s="21"/>
      <c r="BU908" s="21"/>
      <c r="BV908" s="21"/>
      <c r="BW908" s="21"/>
      <c r="BX908" s="21"/>
      <c r="BY908" s="21"/>
      <c r="BZ908" s="21"/>
      <c r="CA908" s="21"/>
      <c r="CB908" s="21"/>
      <c r="CC908" s="21"/>
      <c r="CD908" s="21"/>
      <c r="CE908" s="21"/>
      <c r="CF908" s="21"/>
      <c r="CG908" s="21"/>
      <c r="CH908" s="21"/>
      <c r="CI908" s="21"/>
      <c r="CJ908" s="21"/>
      <c r="CK908" s="21"/>
      <c r="CL908" s="21"/>
      <c r="CM908" s="21"/>
      <c r="CN908" s="21"/>
      <c r="CO908" s="21"/>
      <c r="CP908" s="21"/>
      <c r="CQ908" s="21"/>
      <c r="CR908" s="21"/>
      <c r="CS908" s="21"/>
      <c r="CT908" s="21"/>
      <c r="CU908" s="21"/>
      <c r="CV908" s="21"/>
      <c r="CW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21"/>
      <c r="BT909" s="21"/>
      <c r="BU909" s="21"/>
      <c r="BV909" s="21"/>
      <c r="BW909" s="21"/>
      <c r="BX909" s="21"/>
      <c r="BY909" s="21"/>
      <c r="BZ909" s="21"/>
      <c r="CA909" s="21"/>
      <c r="CB909" s="21"/>
      <c r="CC909" s="21"/>
      <c r="CD909" s="21"/>
      <c r="CE909" s="21"/>
      <c r="CF909" s="21"/>
      <c r="CG909" s="21"/>
      <c r="CH909" s="21"/>
      <c r="CI909" s="21"/>
      <c r="CJ909" s="21"/>
      <c r="CK909" s="21"/>
      <c r="CL909" s="21"/>
      <c r="CM909" s="21"/>
      <c r="CN909" s="21"/>
      <c r="CO909" s="21"/>
      <c r="CP909" s="21"/>
      <c r="CQ909" s="21"/>
      <c r="CR909" s="21"/>
      <c r="CS909" s="21"/>
      <c r="CT909" s="21"/>
      <c r="CU909" s="21"/>
      <c r="CV909" s="21"/>
      <c r="CW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21"/>
      <c r="BT910" s="21"/>
      <c r="BU910" s="21"/>
      <c r="BV910" s="21"/>
      <c r="BW910" s="21"/>
      <c r="BX910" s="21"/>
      <c r="BY910" s="21"/>
      <c r="BZ910" s="21"/>
      <c r="CA910" s="21"/>
      <c r="CB910" s="21"/>
      <c r="CC910" s="21"/>
      <c r="CD910" s="21"/>
      <c r="CE910" s="21"/>
      <c r="CF910" s="21"/>
      <c r="CG910" s="21"/>
      <c r="CH910" s="21"/>
      <c r="CI910" s="21"/>
      <c r="CJ910" s="21"/>
      <c r="CK910" s="21"/>
      <c r="CL910" s="21"/>
      <c r="CM910" s="21"/>
      <c r="CN910" s="21"/>
      <c r="CO910" s="21"/>
      <c r="CP910" s="21"/>
      <c r="CQ910" s="21"/>
      <c r="CR910" s="21"/>
      <c r="CS910" s="21"/>
      <c r="CT910" s="21"/>
      <c r="CU910" s="21"/>
      <c r="CV910" s="21"/>
      <c r="CW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21"/>
      <c r="BT911" s="21"/>
      <c r="BU911" s="21"/>
      <c r="BV911" s="21"/>
      <c r="BW911" s="21"/>
      <c r="BX911" s="21"/>
      <c r="BY911" s="21"/>
      <c r="BZ911" s="21"/>
      <c r="CA911" s="21"/>
      <c r="CB911" s="21"/>
      <c r="CC911" s="21"/>
      <c r="CD911" s="21"/>
      <c r="CE911" s="21"/>
      <c r="CF911" s="21"/>
      <c r="CG911" s="21"/>
      <c r="CH911" s="21"/>
      <c r="CI911" s="21"/>
      <c r="CJ911" s="21"/>
      <c r="CK911" s="21"/>
      <c r="CL911" s="21"/>
      <c r="CM911" s="21"/>
      <c r="CN911" s="21"/>
      <c r="CO911" s="21"/>
      <c r="CP911" s="21"/>
      <c r="CQ911" s="21"/>
      <c r="CR911" s="21"/>
      <c r="CS911" s="21"/>
      <c r="CT911" s="21"/>
      <c r="CU911" s="21"/>
      <c r="CV911" s="21"/>
      <c r="CW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21"/>
      <c r="BT912" s="21"/>
      <c r="BU912" s="21"/>
      <c r="BV912" s="21"/>
      <c r="BW912" s="21"/>
      <c r="BX912" s="21"/>
      <c r="BY912" s="21"/>
      <c r="BZ912" s="21"/>
      <c r="CA912" s="21"/>
      <c r="CB912" s="21"/>
      <c r="CC912" s="21"/>
      <c r="CD912" s="21"/>
      <c r="CE912" s="21"/>
      <c r="CF912" s="21"/>
      <c r="CG912" s="21"/>
      <c r="CH912" s="21"/>
      <c r="CI912" s="21"/>
      <c r="CJ912" s="21"/>
      <c r="CK912" s="21"/>
      <c r="CL912" s="21"/>
      <c r="CM912" s="21"/>
      <c r="CN912" s="21"/>
      <c r="CO912" s="21"/>
      <c r="CP912" s="21"/>
      <c r="CQ912" s="21"/>
      <c r="CR912" s="21"/>
      <c r="CS912" s="21"/>
      <c r="CT912" s="21"/>
      <c r="CU912" s="21"/>
      <c r="CV912" s="21"/>
      <c r="CW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21"/>
      <c r="BT913" s="21"/>
      <c r="BU913" s="21"/>
      <c r="BV913" s="21"/>
      <c r="BW913" s="21"/>
      <c r="BX913" s="21"/>
      <c r="BY913" s="21"/>
      <c r="BZ913" s="21"/>
      <c r="CA913" s="21"/>
      <c r="CB913" s="21"/>
      <c r="CC913" s="21"/>
      <c r="CD913" s="21"/>
      <c r="CE913" s="21"/>
      <c r="CF913" s="21"/>
      <c r="CG913" s="21"/>
      <c r="CH913" s="21"/>
      <c r="CI913" s="21"/>
      <c r="CJ913" s="21"/>
      <c r="CK913" s="21"/>
      <c r="CL913" s="21"/>
      <c r="CM913" s="21"/>
      <c r="CN913" s="21"/>
      <c r="CO913" s="21"/>
      <c r="CP913" s="21"/>
      <c r="CQ913" s="21"/>
      <c r="CR913" s="21"/>
      <c r="CS913" s="21"/>
      <c r="CT913" s="21"/>
      <c r="CU913" s="21"/>
      <c r="CV913" s="21"/>
      <c r="CW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21"/>
      <c r="BT914" s="21"/>
      <c r="BU914" s="21"/>
      <c r="BV914" s="21"/>
      <c r="BW914" s="21"/>
      <c r="BX914" s="21"/>
      <c r="BY914" s="21"/>
      <c r="BZ914" s="21"/>
      <c r="CA914" s="21"/>
      <c r="CB914" s="21"/>
      <c r="CC914" s="21"/>
      <c r="CD914" s="21"/>
      <c r="CE914" s="21"/>
      <c r="CF914" s="21"/>
      <c r="CG914" s="21"/>
      <c r="CH914" s="21"/>
      <c r="CI914" s="21"/>
      <c r="CJ914" s="21"/>
      <c r="CK914" s="21"/>
      <c r="CL914" s="21"/>
      <c r="CM914" s="21"/>
      <c r="CN914" s="21"/>
      <c r="CO914" s="21"/>
      <c r="CP914" s="21"/>
      <c r="CQ914" s="21"/>
      <c r="CR914" s="21"/>
      <c r="CS914" s="21"/>
      <c r="CT914" s="21"/>
      <c r="CU914" s="21"/>
      <c r="CV914" s="21"/>
      <c r="CW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21"/>
      <c r="BT915" s="21"/>
      <c r="BU915" s="21"/>
      <c r="BV915" s="21"/>
      <c r="BW915" s="21"/>
      <c r="BX915" s="21"/>
      <c r="BY915" s="21"/>
      <c r="BZ915" s="21"/>
      <c r="CA915" s="21"/>
      <c r="CB915" s="21"/>
      <c r="CC915" s="21"/>
      <c r="CD915" s="21"/>
      <c r="CE915" s="21"/>
      <c r="CF915" s="21"/>
      <c r="CG915" s="21"/>
      <c r="CH915" s="21"/>
      <c r="CI915" s="21"/>
      <c r="CJ915" s="21"/>
      <c r="CK915" s="21"/>
      <c r="CL915" s="21"/>
      <c r="CM915" s="21"/>
      <c r="CN915" s="21"/>
      <c r="CO915" s="21"/>
      <c r="CP915" s="21"/>
      <c r="CQ915" s="21"/>
      <c r="CR915" s="21"/>
      <c r="CS915" s="21"/>
      <c r="CT915" s="21"/>
      <c r="CU915" s="21"/>
      <c r="CV915" s="21"/>
      <c r="CW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21"/>
      <c r="BT916" s="21"/>
      <c r="BU916" s="21"/>
      <c r="BV916" s="21"/>
      <c r="BW916" s="21"/>
      <c r="BX916" s="21"/>
      <c r="BY916" s="21"/>
      <c r="BZ916" s="21"/>
      <c r="CA916" s="21"/>
      <c r="CB916" s="21"/>
      <c r="CC916" s="21"/>
      <c r="CD916" s="21"/>
      <c r="CE916" s="21"/>
      <c r="CF916" s="21"/>
      <c r="CG916" s="21"/>
      <c r="CH916" s="21"/>
      <c r="CI916" s="21"/>
      <c r="CJ916" s="21"/>
      <c r="CK916" s="21"/>
      <c r="CL916" s="21"/>
      <c r="CM916" s="21"/>
      <c r="CN916" s="21"/>
      <c r="CO916" s="21"/>
      <c r="CP916" s="21"/>
      <c r="CQ916" s="21"/>
      <c r="CR916" s="21"/>
      <c r="CS916" s="21"/>
      <c r="CT916" s="21"/>
      <c r="CU916" s="21"/>
      <c r="CV916" s="21"/>
      <c r="CW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21"/>
      <c r="BT917" s="21"/>
      <c r="BU917" s="21"/>
      <c r="BV917" s="21"/>
      <c r="BW917" s="21"/>
      <c r="BX917" s="21"/>
      <c r="BY917" s="21"/>
      <c r="BZ917" s="21"/>
      <c r="CA917" s="21"/>
      <c r="CB917" s="21"/>
      <c r="CC917" s="21"/>
      <c r="CD917" s="21"/>
      <c r="CE917" s="21"/>
      <c r="CF917" s="21"/>
      <c r="CG917" s="21"/>
      <c r="CH917" s="21"/>
      <c r="CI917" s="21"/>
      <c r="CJ917" s="21"/>
      <c r="CK917" s="21"/>
      <c r="CL917" s="21"/>
      <c r="CM917" s="21"/>
      <c r="CN917" s="21"/>
      <c r="CO917" s="21"/>
      <c r="CP917" s="21"/>
      <c r="CQ917" s="21"/>
      <c r="CR917" s="21"/>
      <c r="CS917" s="21"/>
      <c r="CT917" s="21"/>
      <c r="CU917" s="21"/>
      <c r="CV917" s="21"/>
      <c r="CW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21"/>
      <c r="BT918" s="21"/>
      <c r="BU918" s="21"/>
      <c r="BV918" s="21"/>
      <c r="BW918" s="21"/>
      <c r="BX918" s="21"/>
      <c r="BY918" s="21"/>
      <c r="BZ918" s="21"/>
      <c r="CA918" s="21"/>
      <c r="CB918" s="21"/>
      <c r="CC918" s="21"/>
      <c r="CD918" s="21"/>
      <c r="CE918" s="21"/>
      <c r="CF918" s="21"/>
      <c r="CG918" s="21"/>
      <c r="CH918" s="21"/>
      <c r="CI918" s="21"/>
      <c r="CJ918" s="21"/>
      <c r="CK918" s="21"/>
      <c r="CL918" s="21"/>
      <c r="CM918" s="21"/>
      <c r="CN918" s="21"/>
      <c r="CO918" s="21"/>
      <c r="CP918" s="21"/>
      <c r="CQ918" s="21"/>
      <c r="CR918" s="21"/>
      <c r="CS918" s="21"/>
      <c r="CT918" s="21"/>
      <c r="CU918" s="21"/>
      <c r="CV918" s="21"/>
      <c r="CW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21"/>
      <c r="BT919" s="21"/>
      <c r="BU919" s="21"/>
      <c r="BV919" s="21"/>
      <c r="BW919" s="21"/>
      <c r="BX919" s="21"/>
      <c r="BY919" s="21"/>
      <c r="BZ919" s="21"/>
      <c r="CA919" s="21"/>
      <c r="CB919" s="21"/>
      <c r="CC919" s="21"/>
      <c r="CD919" s="21"/>
      <c r="CE919" s="21"/>
      <c r="CF919" s="21"/>
      <c r="CG919" s="21"/>
      <c r="CH919" s="21"/>
      <c r="CI919" s="21"/>
      <c r="CJ919" s="21"/>
      <c r="CK919" s="21"/>
      <c r="CL919" s="21"/>
      <c r="CM919" s="21"/>
      <c r="CN919" s="21"/>
      <c r="CO919" s="21"/>
      <c r="CP919" s="21"/>
      <c r="CQ919" s="21"/>
      <c r="CR919" s="21"/>
      <c r="CS919" s="21"/>
      <c r="CT919" s="21"/>
      <c r="CU919" s="21"/>
      <c r="CV919" s="21"/>
      <c r="CW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21"/>
      <c r="BT920" s="21"/>
      <c r="BU920" s="21"/>
      <c r="BV920" s="21"/>
      <c r="BW920" s="21"/>
      <c r="BX920" s="21"/>
      <c r="BY920" s="21"/>
      <c r="BZ920" s="21"/>
      <c r="CA920" s="21"/>
      <c r="CB920" s="21"/>
      <c r="CC920" s="21"/>
      <c r="CD920" s="21"/>
      <c r="CE920" s="21"/>
      <c r="CF920" s="21"/>
      <c r="CG920" s="21"/>
      <c r="CH920" s="21"/>
      <c r="CI920" s="21"/>
      <c r="CJ920" s="21"/>
      <c r="CK920" s="21"/>
      <c r="CL920" s="21"/>
      <c r="CM920" s="21"/>
      <c r="CN920" s="21"/>
      <c r="CO920" s="21"/>
      <c r="CP920" s="21"/>
      <c r="CQ920" s="21"/>
      <c r="CR920" s="21"/>
      <c r="CS920" s="21"/>
      <c r="CT920" s="21"/>
      <c r="CU920" s="21"/>
      <c r="CV920" s="21"/>
      <c r="CW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21"/>
      <c r="BT921" s="21"/>
      <c r="BU921" s="21"/>
      <c r="BV921" s="21"/>
      <c r="BW921" s="21"/>
      <c r="BX921" s="21"/>
      <c r="BY921" s="21"/>
      <c r="BZ921" s="21"/>
      <c r="CA921" s="21"/>
      <c r="CB921" s="21"/>
      <c r="CC921" s="21"/>
      <c r="CD921" s="21"/>
      <c r="CE921" s="21"/>
      <c r="CF921" s="21"/>
      <c r="CG921" s="21"/>
      <c r="CH921" s="21"/>
      <c r="CI921" s="21"/>
      <c r="CJ921" s="21"/>
      <c r="CK921" s="21"/>
      <c r="CL921" s="21"/>
      <c r="CM921" s="21"/>
      <c r="CN921" s="21"/>
      <c r="CO921" s="21"/>
      <c r="CP921" s="21"/>
      <c r="CQ921" s="21"/>
      <c r="CR921" s="21"/>
      <c r="CS921" s="21"/>
      <c r="CT921" s="21"/>
      <c r="CU921" s="21"/>
      <c r="CV921" s="21"/>
      <c r="CW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21"/>
      <c r="BT922" s="21"/>
      <c r="BU922" s="21"/>
      <c r="BV922" s="21"/>
      <c r="BW922" s="21"/>
      <c r="BX922" s="21"/>
      <c r="BY922" s="21"/>
      <c r="BZ922" s="21"/>
      <c r="CA922" s="21"/>
      <c r="CB922" s="21"/>
      <c r="CC922" s="21"/>
      <c r="CD922" s="21"/>
      <c r="CE922" s="21"/>
      <c r="CF922" s="21"/>
      <c r="CG922" s="21"/>
      <c r="CH922" s="21"/>
      <c r="CI922" s="21"/>
      <c r="CJ922" s="21"/>
      <c r="CK922" s="21"/>
      <c r="CL922" s="21"/>
      <c r="CM922" s="21"/>
      <c r="CN922" s="21"/>
      <c r="CO922" s="21"/>
      <c r="CP922" s="21"/>
      <c r="CQ922" s="21"/>
      <c r="CR922" s="21"/>
      <c r="CS922" s="21"/>
      <c r="CT922" s="21"/>
      <c r="CU922" s="21"/>
      <c r="CV922" s="21"/>
      <c r="CW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21"/>
      <c r="BT923" s="21"/>
      <c r="BU923" s="21"/>
      <c r="BV923" s="21"/>
      <c r="BW923" s="21"/>
      <c r="BX923" s="21"/>
      <c r="BY923" s="21"/>
      <c r="BZ923" s="21"/>
      <c r="CA923" s="21"/>
      <c r="CB923" s="21"/>
      <c r="CC923" s="21"/>
      <c r="CD923" s="21"/>
      <c r="CE923" s="21"/>
      <c r="CF923" s="21"/>
      <c r="CG923" s="21"/>
      <c r="CH923" s="21"/>
      <c r="CI923" s="21"/>
      <c r="CJ923" s="21"/>
      <c r="CK923" s="21"/>
      <c r="CL923" s="21"/>
      <c r="CM923" s="21"/>
      <c r="CN923" s="21"/>
      <c r="CO923" s="21"/>
      <c r="CP923" s="21"/>
      <c r="CQ923" s="21"/>
      <c r="CR923" s="21"/>
      <c r="CS923" s="21"/>
      <c r="CT923" s="21"/>
      <c r="CU923" s="21"/>
      <c r="CV923" s="21"/>
      <c r="CW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21"/>
      <c r="BT924" s="21"/>
      <c r="BU924" s="21"/>
      <c r="BV924" s="21"/>
      <c r="BW924" s="21"/>
      <c r="BX924" s="21"/>
      <c r="BY924" s="21"/>
      <c r="BZ924" s="21"/>
      <c r="CA924" s="21"/>
      <c r="CB924" s="21"/>
      <c r="CC924" s="21"/>
      <c r="CD924" s="21"/>
      <c r="CE924" s="21"/>
      <c r="CF924" s="21"/>
      <c r="CG924" s="21"/>
      <c r="CH924" s="21"/>
      <c r="CI924" s="21"/>
      <c r="CJ924" s="21"/>
      <c r="CK924" s="21"/>
      <c r="CL924" s="21"/>
      <c r="CM924" s="21"/>
      <c r="CN924" s="21"/>
      <c r="CO924" s="21"/>
      <c r="CP924" s="21"/>
      <c r="CQ924" s="21"/>
      <c r="CR924" s="21"/>
      <c r="CS924" s="21"/>
      <c r="CT924" s="21"/>
      <c r="CU924" s="21"/>
      <c r="CV924" s="21"/>
      <c r="CW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21"/>
      <c r="BT925" s="21"/>
      <c r="BU925" s="21"/>
      <c r="BV925" s="21"/>
      <c r="BW925" s="21"/>
      <c r="BX925" s="21"/>
      <c r="BY925" s="21"/>
      <c r="BZ925" s="21"/>
      <c r="CA925" s="21"/>
      <c r="CB925" s="21"/>
      <c r="CC925" s="21"/>
      <c r="CD925" s="21"/>
      <c r="CE925" s="21"/>
      <c r="CF925" s="21"/>
      <c r="CG925" s="21"/>
      <c r="CH925" s="21"/>
      <c r="CI925" s="21"/>
      <c r="CJ925" s="21"/>
      <c r="CK925" s="21"/>
      <c r="CL925" s="21"/>
      <c r="CM925" s="21"/>
      <c r="CN925" s="21"/>
      <c r="CO925" s="21"/>
      <c r="CP925" s="21"/>
      <c r="CQ925" s="21"/>
      <c r="CR925" s="21"/>
      <c r="CS925" s="21"/>
      <c r="CT925" s="21"/>
      <c r="CU925" s="21"/>
      <c r="CV925" s="21"/>
      <c r="CW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21"/>
      <c r="BT926" s="21"/>
      <c r="BU926" s="21"/>
      <c r="BV926" s="21"/>
      <c r="BW926" s="21"/>
      <c r="BX926" s="21"/>
      <c r="BY926" s="21"/>
      <c r="BZ926" s="21"/>
      <c r="CA926" s="21"/>
      <c r="CB926" s="21"/>
      <c r="CC926" s="21"/>
      <c r="CD926" s="21"/>
      <c r="CE926" s="21"/>
      <c r="CF926" s="21"/>
      <c r="CG926" s="21"/>
      <c r="CH926" s="21"/>
      <c r="CI926" s="21"/>
      <c r="CJ926" s="21"/>
      <c r="CK926" s="21"/>
      <c r="CL926" s="21"/>
      <c r="CM926" s="21"/>
      <c r="CN926" s="21"/>
      <c r="CO926" s="21"/>
      <c r="CP926" s="21"/>
      <c r="CQ926" s="21"/>
      <c r="CR926" s="21"/>
      <c r="CS926" s="21"/>
      <c r="CT926" s="21"/>
      <c r="CU926" s="21"/>
      <c r="CV926" s="21"/>
      <c r="CW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21"/>
      <c r="BT927" s="21"/>
      <c r="BU927" s="21"/>
      <c r="BV927" s="21"/>
      <c r="BW927" s="21"/>
      <c r="BX927" s="21"/>
      <c r="BY927" s="21"/>
      <c r="BZ927" s="21"/>
      <c r="CA927" s="21"/>
      <c r="CB927" s="21"/>
      <c r="CC927" s="21"/>
      <c r="CD927" s="21"/>
      <c r="CE927" s="21"/>
      <c r="CF927" s="21"/>
      <c r="CG927" s="21"/>
      <c r="CH927" s="21"/>
      <c r="CI927" s="21"/>
      <c r="CJ927" s="21"/>
      <c r="CK927" s="21"/>
      <c r="CL927" s="21"/>
      <c r="CM927" s="21"/>
      <c r="CN927" s="21"/>
      <c r="CO927" s="21"/>
      <c r="CP927" s="21"/>
      <c r="CQ927" s="21"/>
      <c r="CR927" s="21"/>
      <c r="CS927" s="21"/>
      <c r="CT927" s="21"/>
      <c r="CU927" s="21"/>
      <c r="CV927" s="21"/>
      <c r="CW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21"/>
      <c r="BT928" s="21"/>
      <c r="BU928" s="21"/>
      <c r="BV928" s="21"/>
      <c r="BW928" s="21"/>
      <c r="BX928" s="21"/>
      <c r="BY928" s="21"/>
      <c r="BZ928" s="21"/>
      <c r="CA928" s="21"/>
      <c r="CB928" s="21"/>
      <c r="CC928" s="21"/>
      <c r="CD928" s="21"/>
      <c r="CE928" s="21"/>
      <c r="CF928" s="21"/>
      <c r="CG928" s="21"/>
      <c r="CH928" s="21"/>
      <c r="CI928" s="21"/>
      <c r="CJ928" s="21"/>
      <c r="CK928" s="21"/>
      <c r="CL928" s="21"/>
      <c r="CM928" s="21"/>
      <c r="CN928" s="21"/>
      <c r="CO928" s="21"/>
      <c r="CP928" s="21"/>
      <c r="CQ928" s="21"/>
      <c r="CR928" s="21"/>
      <c r="CS928" s="21"/>
      <c r="CT928" s="21"/>
      <c r="CU928" s="21"/>
      <c r="CV928" s="21"/>
      <c r="CW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21"/>
      <c r="BT929" s="21"/>
      <c r="BU929" s="21"/>
      <c r="BV929" s="21"/>
      <c r="BW929" s="21"/>
      <c r="BX929" s="21"/>
      <c r="BY929" s="21"/>
      <c r="BZ929" s="21"/>
      <c r="CA929" s="21"/>
      <c r="CB929" s="21"/>
      <c r="CC929" s="21"/>
      <c r="CD929" s="21"/>
      <c r="CE929" s="21"/>
      <c r="CF929" s="21"/>
      <c r="CG929" s="21"/>
      <c r="CH929" s="21"/>
      <c r="CI929" s="21"/>
      <c r="CJ929" s="21"/>
      <c r="CK929" s="21"/>
      <c r="CL929" s="21"/>
      <c r="CM929" s="21"/>
      <c r="CN929" s="21"/>
      <c r="CO929" s="21"/>
      <c r="CP929" s="21"/>
      <c r="CQ929" s="21"/>
      <c r="CR929" s="21"/>
      <c r="CS929" s="21"/>
      <c r="CT929" s="21"/>
      <c r="CU929" s="21"/>
      <c r="CV929" s="21"/>
      <c r="CW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21"/>
      <c r="BT930" s="21"/>
      <c r="BU930" s="21"/>
      <c r="BV930" s="21"/>
      <c r="BW930" s="21"/>
      <c r="BX930" s="21"/>
      <c r="BY930" s="21"/>
      <c r="BZ930" s="21"/>
      <c r="CA930" s="21"/>
      <c r="CB930" s="21"/>
      <c r="CC930" s="21"/>
      <c r="CD930" s="21"/>
      <c r="CE930" s="21"/>
      <c r="CF930" s="21"/>
      <c r="CG930" s="21"/>
      <c r="CH930" s="21"/>
      <c r="CI930" s="21"/>
      <c r="CJ930" s="21"/>
      <c r="CK930" s="21"/>
      <c r="CL930" s="21"/>
      <c r="CM930" s="21"/>
      <c r="CN930" s="21"/>
      <c r="CO930" s="21"/>
      <c r="CP930" s="21"/>
      <c r="CQ930" s="21"/>
      <c r="CR930" s="21"/>
      <c r="CS930" s="21"/>
      <c r="CT930" s="21"/>
      <c r="CU930" s="21"/>
      <c r="CV930" s="21"/>
      <c r="CW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21"/>
      <c r="BT931" s="21"/>
      <c r="BU931" s="21"/>
      <c r="BV931" s="21"/>
      <c r="BW931" s="21"/>
      <c r="BX931" s="21"/>
      <c r="BY931" s="21"/>
      <c r="BZ931" s="21"/>
      <c r="CA931" s="21"/>
      <c r="CB931" s="21"/>
      <c r="CC931" s="21"/>
      <c r="CD931" s="21"/>
      <c r="CE931" s="21"/>
      <c r="CF931" s="21"/>
      <c r="CG931" s="21"/>
      <c r="CH931" s="21"/>
      <c r="CI931" s="21"/>
      <c r="CJ931" s="21"/>
      <c r="CK931" s="21"/>
      <c r="CL931" s="21"/>
      <c r="CM931" s="21"/>
      <c r="CN931" s="21"/>
      <c r="CO931" s="21"/>
      <c r="CP931" s="21"/>
      <c r="CQ931" s="21"/>
      <c r="CR931" s="21"/>
      <c r="CS931" s="21"/>
      <c r="CT931" s="21"/>
      <c r="CU931" s="21"/>
      <c r="CV931" s="21"/>
      <c r="CW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21"/>
      <c r="BT932" s="21"/>
      <c r="BU932" s="21"/>
      <c r="BV932" s="21"/>
      <c r="BW932" s="21"/>
      <c r="BX932" s="21"/>
      <c r="BY932" s="21"/>
      <c r="BZ932" s="21"/>
      <c r="CA932" s="21"/>
      <c r="CB932" s="21"/>
      <c r="CC932" s="21"/>
      <c r="CD932" s="21"/>
      <c r="CE932" s="21"/>
      <c r="CF932" s="21"/>
      <c r="CG932" s="21"/>
      <c r="CH932" s="21"/>
      <c r="CI932" s="21"/>
      <c r="CJ932" s="21"/>
      <c r="CK932" s="21"/>
      <c r="CL932" s="21"/>
      <c r="CM932" s="21"/>
      <c r="CN932" s="21"/>
      <c r="CO932" s="21"/>
      <c r="CP932" s="21"/>
      <c r="CQ932" s="21"/>
      <c r="CR932" s="21"/>
      <c r="CS932" s="21"/>
      <c r="CT932" s="21"/>
      <c r="CU932" s="21"/>
      <c r="CV932" s="21"/>
      <c r="CW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21"/>
      <c r="BT933" s="21"/>
      <c r="BU933" s="21"/>
      <c r="BV933" s="21"/>
      <c r="BW933" s="21"/>
      <c r="BX933" s="21"/>
      <c r="BY933" s="21"/>
      <c r="BZ933" s="21"/>
      <c r="CA933" s="21"/>
      <c r="CB933" s="21"/>
      <c r="CC933" s="21"/>
      <c r="CD933" s="21"/>
      <c r="CE933" s="21"/>
      <c r="CF933" s="21"/>
      <c r="CG933" s="21"/>
      <c r="CH933" s="21"/>
      <c r="CI933" s="21"/>
      <c r="CJ933" s="21"/>
      <c r="CK933" s="21"/>
      <c r="CL933" s="21"/>
      <c r="CM933" s="21"/>
      <c r="CN933" s="21"/>
      <c r="CO933" s="21"/>
      <c r="CP933" s="21"/>
      <c r="CQ933" s="21"/>
      <c r="CR933" s="21"/>
      <c r="CS933" s="21"/>
      <c r="CT933" s="21"/>
      <c r="CU933" s="21"/>
      <c r="CV933" s="21"/>
      <c r="CW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21"/>
      <c r="BT934" s="21"/>
      <c r="BU934" s="21"/>
      <c r="BV934" s="21"/>
      <c r="BW934" s="21"/>
      <c r="BX934" s="21"/>
      <c r="BY934" s="21"/>
      <c r="BZ934" s="21"/>
      <c r="CA934" s="21"/>
      <c r="CB934" s="21"/>
      <c r="CC934" s="21"/>
      <c r="CD934" s="21"/>
      <c r="CE934" s="21"/>
      <c r="CF934" s="21"/>
      <c r="CG934" s="21"/>
      <c r="CH934" s="21"/>
      <c r="CI934" s="21"/>
      <c r="CJ934" s="21"/>
      <c r="CK934" s="21"/>
      <c r="CL934" s="21"/>
      <c r="CM934" s="21"/>
      <c r="CN934" s="21"/>
      <c r="CO934" s="21"/>
      <c r="CP934" s="21"/>
      <c r="CQ934" s="21"/>
      <c r="CR934" s="21"/>
      <c r="CS934" s="21"/>
      <c r="CT934" s="21"/>
      <c r="CU934" s="21"/>
      <c r="CV934" s="21"/>
      <c r="CW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21"/>
      <c r="BT935" s="21"/>
      <c r="BU935" s="21"/>
      <c r="BV935" s="21"/>
      <c r="BW935" s="21"/>
      <c r="BX935" s="21"/>
      <c r="BY935" s="21"/>
      <c r="BZ935" s="21"/>
      <c r="CA935" s="21"/>
      <c r="CB935" s="21"/>
      <c r="CC935" s="21"/>
      <c r="CD935" s="21"/>
      <c r="CE935" s="21"/>
      <c r="CF935" s="21"/>
      <c r="CG935" s="21"/>
      <c r="CH935" s="21"/>
      <c r="CI935" s="21"/>
      <c r="CJ935" s="21"/>
      <c r="CK935" s="21"/>
      <c r="CL935" s="21"/>
      <c r="CM935" s="21"/>
      <c r="CN935" s="21"/>
      <c r="CO935" s="21"/>
      <c r="CP935" s="21"/>
      <c r="CQ935" s="21"/>
      <c r="CR935" s="21"/>
      <c r="CS935" s="21"/>
      <c r="CT935" s="21"/>
      <c r="CU935" s="21"/>
      <c r="CV935" s="21"/>
      <c r="CW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21"/>
      <c r="BT936" s="21"/>
      <c r="BU936" s="21"/>
      <c r="BV936" s="21"/>
      <c r="BW936" s="21"/>
      <c r="BX936" s="21"/>
      <c r="BY936" s="21"/>
      <c r="BZ936" s="21"/>
      <c r="CA936" s="21"/>
      <c r="CB936" s="21"/>
      <c r="CC936" s="21"/>
      <c r="CD936" s="21"/>
      <c r="CE936" s="21"/>
      <c r="CF936" s="21"/>
      <c r="CG936" s="21"/>
      <c r="CH936" s="21"/>
      <c r="CI936" s="21"/>
      <c r="CJ936" s="21"/>
      <c r="CK936" s="21"/>
      <c r="CL936" s="21"/>
      <c r="CM936" s="21"/>
      <c r="CN936" s="21"/>
      <c r="CO936" s="21"/>
      <c r="CP936" s="21"/>
      <c r="CQ936" s="21"/>
      <c r="CR936" s="21"/>
      <c r="CS936" s="21"/>
      <c r="CT936" s="21"/>
      <c r="CU936" s="21"/>
      <c r="CV936" s="21"/>
      <c r="CW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21"/>
      <c r="BT937" s="21"/>
      <c r="BU937" s="21"/>
      <c r="BV937" s="21"/>
      <c r="BW937" s="21"/>
      <c r="BX937" s="21"/>
      <c r="BY937" s="21"/>
      <c r="BZ937" s="21"/>
      <c r="CA937" s="21"/>
      <c r="CB937" s="21"/>
      <c r="CC937" s="21"/>
      <c r="CD937" s="21"/>
      <c r="CE937" s="21"/>
      <c r="CF937" s="21"/>
      <c r="CG937" s="21"/>
      <c r="CH937" s="21"/>
      <c r="CI937" s="21"/>
      <c r="CJ937" s="21"/>
      <c r="CK937" s="21"/>
      <c r="CL937" s="21"/>
      <c r="CM937" s="21"/>
      <c r="CN937" s="21"/>
      <c r="CO937" s="21"/>
      <c r="CP937" s="21"/>
      <c r="CQ937" s="21"/>
      <c r="CR937" s="21"/>
      <c r="CS937" s="21"/>
      <c r="CT937" s="21"/>
      <c r="CU937" s="21"/>
      <c r="CV937" s="21"/>
      <c r="CW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21"/>
      <c r="BT938" s="21"/>
      <c r="BU938" s="21"/>
      <c r="BV938" s="21"/>
      <c r="BW938" s="21"/>
      <c r="BX938" s="21"/>
      <c r="BY938" s="21"/>
      <c r="BZ938" s="21"/>
      <c r="CA938" s="21"/>
      <c r="CB938" s="21"/>
      <c r="CC938" s="21"/>
      <c r="CD938" s="21"/>
      <c r="CE938" s="21"/>
      <c r="CF938" s="21"/>
      <c r="CG938" s="21"/>
      <c r="CH938" s="21"/>
      <c r="CI938" s="21"/>
      <c r="CJ938" s="21"/>
      <c r="CK938" s="21"/>
      <c r="CL938" s="21"/>
      <c r="CM938" s="21"/>
      <c r="CN938" s="21"/>
      <c r="CO938" s="21"/>
      <c r="CP938" s="21"/>
      <c r="CQ938" s="21"/>
      <c r="CR938" s="21"/>
      <c r="CS938" s="21"/>
      <c r="CT938" s="21"/>
      <c r="CU938" s="21"/>
      <c r="CV938" s="21"/>
      <c r="CW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  <c r="BQ939" s="21"/>
      <c r="BR939" s="21"/>
      <c r="BS939" s="21"/>
      <c r="BT939" s="21"/>
      <c r="BU939" s="21"/>
      <c r="BV939" s="21"/>
      <c r="BW939" s="21"/>
      <c r="BX939" s="21"/>
      <c r="BY939" s="21"/>
      <c r="BZ939" s="21"/>
      <c r="CA939" s="21"/>
      <c r="CB939" s="21"/>
      <c r="CC939" s="21"/>
      <c r="CD939" s="21"/>
      <c r="CE939" s="21"/>
      <c r="CF939" s="21"/>
      <c r="CG939" s="21"/>
      <c r="CH939" s="21"/>
      <c r="CI939" s="21"/>
      <c r="CJ939" s="21"/>
      <c r="CK939" s="21"/>
      <c r="CL939" s="21"/>
      <c r="CM939" s="21"/>
      <c r="CN939" s="21"/>
      <c r="CO939" s="21"/>
      <c r="CP939" s="21"/>
      <c r="CQ939" s="21"/>
      <c r="CR939" s="21"/>
      <c r="CS939" s="21"/>
      <c r="CT939" s="21"/>
      <c r="CU939" s="21"/>
      <c r="CV939" s="21"/>
      <c r="CW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  <c r="BP940" s="21"/>
      <c r="BQ940" s="21"/>
      <c r="BR940" s="21"/>
      <c r="BS940" s="21"/>
      <c r="BT940" s="21"/>
      <c r="BU940" s="21"/>
      <c r="BV940" s="21"/>
      <c r="BW940" s="21"/>
      <c r="BX940" s="21"/>
      <c r="BY940" s="21"/>
      <c r="BZ940" s="21"/>
      <c r="CA940" s="21"/>
      <c r="CB940" s="21"/>
      <c r="CC940" s="21"/>
      <c r="CD940" s="21"/>
      <c r="CE940" s="21"/>
      <c r="CF940" s="21"/>
      <c r="CG940" s="21"/>
      <c r="CH940" s="21"/>
      <c r="CI940" s="21"/>
      <c r="CJ940" s="21"/>
      <c r="CK940" s="21"/>
      <c r="CL940" s="21"/>
      <c r="CM940" s="21"/>
      <c r="CN940" s="21"/>
      <c r="CO940" s="21"/>
      <c r="CP940" s="21"/>
      <c r="CQ940" s="21"/>
      <c r="CR940" s="21"/>
      <c r="CS940" s="21"/>
      <c r="CT940" s="21"/>
      <c r="CU940" s="21"/>
      <c r="CV940" s="21"/>
      <c r="CW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  <c r="BQ941" s="21"/>
      <c r="BR941" s="21"/>
      <c r="BS941" s="21"/>
      <c r="BT941" s="21"/>
      <c r="BU941" s="21"/>
      <c r="BV941" s="21"/>
      <c r="BW941" s="21"/>
      <c r="BX941" s="21"/>
      <c r="BY941" s="21"/>
      <c r="BZ941" s="21"/>
      <c r="CA941" s="21"/>
      <c r="CB941" s="21"/>
      <c r="CC941" s="21"/>
      <c r="CD941" s="21"/>
      <c r="CE941" s="21"/>
      <c r="CF941" s="21"/>
      <c r="CG941" s="21"/>
      <c r="CH941" s="21"/>
      <c r="CI941" s="21"/>
      <c r="CJ941" s="21"/>
      <c r="CK941" s="21"/>
      <c r="CL941" s="21"/>
      <c r="CM941" s="21"/>
      <c r="CN941" s="21"/>
      <c r="CO941" s="21"/>
      <c r="CP941" s="21"/>
      <c r="CQ941" s="21"/>
      <c r="CR941" s="21"/>
      <c r="CS941" s="21"/>
      <c r="CT941" s="21"/>
      <c r="CU941" s="21"/>
      <c r="CV941" s="21"/>
      <c r="CW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  <c r="BQ942" s="21"/>
      <c r="BR942" s="21"/>
      <c r="BS942" s="21"/>
      <c r="BT942" s="21"/>
      <c r="BU942" s="21"/>
      <c r="BV942" s="21"/>
      <c r="BW942" s="21"/>
      <c r="BX942" s="21"/>
      <c r="BY942" s="21"/>
      <c r="BZ942" s="21"/>
      <c r="CA942" s="21"/>
      <c r="CB942" s="21"/>
      <c r="CC942" s="21"/>
      <c r="CD942" s="21"/>
      <c r="CE942" s="21"/>
      <c r="CF942" s="21"/>
      <c r="CG942" s="21"/>
      <c r="CH942" s="21"/>
      <c r="CI942" s="21"/>
      <c r="CJ942" s="21"/>
      <c r="CK942" s="21"/>
      <c r="CL942" s="21"/>
      <c r="CM942" s="21"/>
      <c r="CN942" s="21"/>
      <c r="CO942" s="21"/>
      <c r="CP942" s="21"/>
      <c r="CQ942" s="21"/>
      <c r="CR942" s="21"/>
      <c r="CS942" s="21"/>
      <c r="CT942" s="21"/>
      <c r="CU942" s="21"/>
      <c r="CV942" s="21"/>
      <c r="CW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  <c r="BQ943" s="21"/>
      <c r="BR943" s="21"/>
      <c r="BS943" s="21"/>
      <c r="BT943" s="21"/>
      <c r="BU943" s="21"/>
      <c r="BV943" s="21"/>
      <c r="BW943" s="21"/>
      <c r="BX943" s="21"/>
      <c r="BY943" s="21"/>
      <c r="BZ943" s="21"/>
      <c r="CA943" s="21"/>
      <c r="CB943" s="21"/>
      <c r="CC943" s="21"/>
      <c r="CD943" s="21"/>
      <c r="CE943" s="21"/>
      <c r="CF943" s="21"/>
      <c r="CG943" s="21"/>
      <c r="CH943" s="21"/>
      <c r="CI943" s="21"/>
      <c r="CJ943" s="21"/>
      <c r="CK943" s="21"/>
      <c r="CL943" s="21"/>
      <c r="CM943" s="21"/>
      <c r="CN943" s="21"/>
      <c r="CO943" s="21"/>
      <c r="CP943" s="21"/>
      <c r="CQ943" s="21"/>
      <c r="CR943" s="21"/>
      <c r="CS943" s="21"/>
      <c r="CT943" s="21"/>
      <c r="CU943" s="21"/>
      <c r="CV943" s="21"/>
      <c r="CW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  <c r="BQ944" s="21"/>
      <c r="BR944" s="21"/>
      <c r="BS944" s="21"/>
      <c r="BT944" s="21"/>
      <c r="BU944" s="21"/>
      <c r="BV944" s="21"/>
      <c r="BW944" s="21"/>
      <c r="BX944" s="21"/>
      <c r="BY944" s="21"/>
      <c r="BZ944" s="21"/>
      <c r="CA944" s="21"/>
      <c r="CB944" s="21"/>
      <c r="CC944" s="21"/>
      <c r="CD944" s="21"/>
      <c r="CE944" s="21"/>
      <c r="CF944" s="21"/>
      <c r="CG944" s="21"/>
      <c r="CH944" s="21"/>
      <c r="CI944" s="21"/>
      <c r="CJ944" s="21"/>
      <c r="CK944" s="21"/>
      <c r="CL944" s="21"/>
      <c r="CM944" s="21"/>
      <c r="CN944" s="21"/>
      <c r="CO944" s="21"/>
      <c r="CP944" s="21"/>
      <c r="CQ944" s="21"/>
      <c r="CR944" s="21"/>
      <c r="CS944" s="21"/>
      <c r="CT944" s="21"/>
      <c r="CU944" s="21"/>
      <c r="CV944" s="21"/>
      <c r="CW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  <c r="BQ945" s="21"/>
      <c r="BR945" s="21"/>
      <c r="BS945" s="21"/>
      <c r="BT945" s="21"/>
      <c r="BU945" s="21"/>
      <c r="BV945" s="21"/>
      <c r="BW945" s="21"/>
      <c r="BX945" s="21"/>
      <c r="BY945" s="21"/>
      <c r="BZ945" s="21"/>
      <c r="CA945" s="21"/>
      <c r="CB945" s="21"/>
      <c r="CC945" s="21"/>
      <c r="CD945" s="21"/>
      <c r="CE945" s="21"/>
      <c r="CF945" s="21"/>
      <c r="CG945" s="21"/>
      <c r="CH945" s="21"/>
      <c r="CI945" s="21"/>
      <c r="CJ945" s="21"/>
      <c r="CK945" s="21"/>
      <c r="CL945" s="21"/>
      <c r="CM945" s="21"/>
      <c r="CN945" s="21"/>
      <c r="CO945" s="21"/>
      <c r="CP945" s="21"/>
      <c r="CQ945" s="21"/>
      <c r="CR945" s="21"/>
      <c r="CS945" s="21"/>
      <c r="CT945" s="21"/>
      <c r="CU945" s="21"/>
      <c r="CV945" s="21"/>
      <c r="CW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  <c r="BQ946" s="21"/>
      <c r="BR946" s="21"/>
      <c r="BS946" s="21"/>
      <c r="BT946" s="21"/>
      <c r="BU946" s="21"/>
      <c r="BV946" s="21"/>
      <c r="BW946" s="21"/>
      <c r="BX946" s="21"/>
      <c r="BY946" s="21"/>
      <c r="BZ946" s="21"/>
      <c r="CA946" s="21"/>
      <c r="CB946" s="21"/>
      <c r="CC946" s="21"/>
      <c r="CD946" s="21"/>
      <c r="CE946" s="21"/>
      <c r="CF946" s="21"/>
      <c r="CG946" s="21"/>
      <c r="CH946" s="21"/>
      <c r="CI946" s="21"/>
      <c r="CJ946" s="21"/>
      <c r="CK946" s="21"/>
      <c r="CL946" s="21"/>
      <c r="CM946" s="21"/>
      <c r="CN946" s="21"/>
      <c r="CO946" s="21"/>
      <c r="CP946" s="21"/>
      <c r="CQ946" s="21"/>
      <c r="CR946" s="21"/>
      <c r="CS946" s="21"/>
      <c r="CT946" s="21"/>
      <c r="CU946" s="21"/>
      <c r="CV946" s="21"/>
      <c r="CW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  <c r="BQ947" s="21"/>
      <c r="BR947" s="21"/>
      <c r="BS947" s="21"/>
      <c r="BT947" s="21"/>
      <c r="BU947" s="21"/>
      <c r="BV947" s="21"/>
      <c r="BW947" s="21"/>
      <c r="BX947" s="21"/>
      <c r="BY947" s="21"/>
      <c r="BZ947" s="21"/>
      <c r="CA947" s="21"/>
      <c r="CB947" s="21"/>
      <c r="CC947" s="21"/>
      <c r="CD947" s="21"/>
      <c r="CE947" s="21"/>
      <c r="CF947" s="21"/>
      <c r="CG947" s="21"/>
      <c r="CH947" s="21"/>
      <c r="CI947" s="21"/>
      <c r="CJ947" s="21"/>
      <c r="CK947" s="21"/>
      <c r="CL947" s="21"/>
      <c r="CM947" s="21"/>
      <c r="CN947" s="21"/>
      <c r="CO947" s="21"/>
      <c r="CP947" s="21"/>
      <c r="CQ947" s="21"/>
      <c r="CR947" s="21"/>
      <c r="CS947" s="21"/>
      <c r="CT947" s="21"/>
      <c r="CU947" s="21"/>
      <c r="CV947" s="21"/>
      <c r="CW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  <c r="BP948" s="21"/>
      <c r="BQ948" s="21"/>
      <c r="BR948" s="21"/>
      <c r="BS948" s="21"/>
      <c r="BT948" s="21"/>
      <c r="BU948" s="21"/>
      <c r="BV948" s="21"/>
      <c r="BW948" s="21"/>
      <c r="BX948" s="21"/>
      <c r="BY948" s="21"/>
      <c r="BZ948" s="21"/>
      <c r="CA948" s="21"/>
      <c r="CB948" s="21"/>
      <c r="CC948" s="21"/>
      <c r="CD948" s="21"/>
      <c r="CE948" s="21"/>
      <c r="CF948" s="21"/>
      <c r="CG948" s="21"/>
      <c r="CH948" s="21"/>
      <c r="CI948" s="21"/>
      <c r="CJ948" s="21"/>
      <c r="CK948" s="21"/>
      <c r="CL948" s="21"/>
      <c r="CM948" s="21"/>
      <c r="CN948" s="21"/>
      <c r="CO948" s="21"/>
      <c r="CP948" s="21"/>
      <c r="CQ948" s="21"/>
      <c r="CR948" s="21"/>
      <c r="CS948" s="21"/>
      <c r="CT948" s="21"/>
      <c r="CU948" s="21"/>
      <c r="CV948" s="21"/>
      <c r="CW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  <c r="BQ949" s="21"/>
      <c r="BR949" s="21"/>
      <c r="BS949" s="21"/>
      <c r="BT949" s="21"/>
      <c r="BU949" s="21"/>
      <c r="BV949" s="21"/>
      <c r="BW949" s="21"/>
      <c r="BX949" s="21"/>
      <c r="BY949" s="21"/>
      <c r="BZ949" s="21"/>
      <c r="CA949" s="21"/>
      <c r="CB949" s="21"/>
      <c r="CC949" s="21"/>
      <c r="CD949" s="21"/>
      <c r="CE949" s="21"/>
      <c r="CF949" s="21"/>
      <c r="CG949" s="21"/>
      <c r="CH949" s="21"/>
      <c r="CI949" s="21"/>
      <c r="CJ949" s="21"/>
      <c r="CK949" s="21"/>
      <c r="CL949" s="21"/>
      <c r="CM949" s="21"/>
      <c r="CN949" s="21"/>
      <c r="CO949" s="21"/>
      <c r="CP949" s="21"/>
      <c r="CQ949" s="21"/>
      <c r="CR949" s="21"/>
      <c r="CS949" s="21"/>
      <c r="CT949" s="21"/>
      <c r="CU949" s="21"/>
      <c r="CV949" s="21"/>
      <c r="CW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  <c r="BQ950" s="21"/>
      <c r="BR950" s="21"/>
      <c r="BS950" s="21"/>
      <c r="BT950" s="21"/>
      <c r="BU950" s="21"/>
      <c r="BV950" s="21"/>
      <c r="BW950" s="21"/>
      <c r="BX950" s="21"/>
      <c r="BY950" s="21"/>
      <c r="BZ950" s="21"/>
      <c r="CA950" s="21"/>
      <c r="CB950" s="21"/>
      <c r="CC950" s="21"/>
      <c r="CD950" s="21"/>
      <c r="CE950" s="21"/>
      <c r="CF950" s="21"/>
      <c r="CG950" s="21"/>
      <c r="CH950" s="21"/>
      <c r="CI950" s="21"/>
      <c r="CJ950" s="21"/>
      <c r="CK950" s="21"/>
      <c r="CL950" s="21"/>
      <c r="CM950" s="21"/>
      <c r="CN950" s="21"/>
      <c r="CO950" s="21"/>
      <c r="CP950" s="21"/>
      <c r="CQ950" s="21"/>
      <c r="CR950" s="21"/>
      <c r="CS950" s="21"/>
      <c r="CT950" s="21"/>
      <c r="CU950" s="21"/>
      <c r="CV950" s="21"/>
      <c r="CW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  <c r="BP951" s="21"/>
      <c r="BQ951" s="21"/>
      <c r="BR951" s="21"/>
      <c r="BS951" s="21"/>
      <c r="BT951" s="21"/>
      <c r="BU951" s="21"/>
      <c r="BV951" s="21"/>
      <c r="BW951" s="21"/>
      <c r="BX951" s="21"/>
      <c r="BY951" s="21"/>
      <c r="BZ951" s="21"/>
      <c r="CA951" s="21"/>
      <c r="CB951" s="21"/>
      <c r="CC951" s="21"/>
      <c r="CD951" s="21"/>
      <c r="CE951" s="21"/>
      <c r="CF951" s="21"/>
      <c r="CG951" s="21"/>
      <c r="CH951" s="21"/>
      <c r="CI951" s="21"/>
      <c r="CJ951" s="21"/>
      <c r="CK951" s="21"/>
      <c r="CL951" s="21"/>
      <c r="CM951" s="21"/>
      <c r="CN951" s="21"/>
      <c r="CO951" s="21"/>
      <c r="CP951" s="21"/>
      <c r="CQ951" s="21"/>
      <c r="CR951" s="21"/>
      <c r="CS951" s="21"/>
      <c r="CT951" s="21"/>
      <c r="CU951" s="21"/>
      <c r="CV951" s="21"/>
      <c r="CW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  <c r="BQ952" s="21"/>
      <c r="BR952" s="21"/>
      <c r="BS952" s="21"/>
      <c r="BT952" s="21"/>
      <c r="BU952" s="21"/>
      <c r="BV952" s="21"/>
      <c r="BW952" s="21"/>
      <c r="BX952" s="21"/>
      <c r="BY952" s="21"/>
      <c r="BZ952" s="21"/>
      <c r="CA952" s="21"/>
      <c r="CB952" s="21"/>
      <c r="CC952" s="21"/>
      <c r="CD952" s="21"/>
      <c r="CE952" s="21"/>
      <c r="CF952" s="21"/>
      <c r="CG952" s="21"/>
      <c r="CH952" s="21"/>
      <c r="CI952" s="21"/>
      <c r="CJ952" s="21"/>
      <c r="CK952" s="21"/>
      <c r="CL952" s="21"/>
      <c r="CM952" s="21"/>
      <c r="CN952" s="21"/>
      <c r="CO952" s="21"/>
      <c r="CP952" s="21"/>
      <c r="CQ952" s="21"/>
      <c r="CR952" s="21"/>
      <c r="CS952" s="21"/>
      <c r="CT952" s="21"/>
      <c r="CU952" s="21"/>
      <c r="CV952" s="21"/>
      <c r="CW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  <c r="BP953" s="21"/>
      <c r="BQ953" s="21"/>
      <c r="BR953" s="21"/>
      <c r="BS953" s="21"/>
      <c r="BT953" s="21"/>
      <c r="BU953" s="21"/>
      <c r="BV953" s="21"/>
      <c r="BW953" s="21"/>
      <c r="BX953" s="21"/>
      <c r="BY953" s="21"/>
      <c r="BZ953" s="21"/>
      <c r="CA953" s="21"/>
      <c r="CB953" s="21"/>
      <c r="CC953" s="21"/>
      <c r="CD953" s="21"/>
      <c r="CE953" s="21"/>
      <c r="CF953" s="21"/>
      <c r="CG953" s="21"/>
      <c r="CH953" s="21"/>
      <c r="CI953" s="21"/>
      <c r="CJ953" s="21"/>
      <c r="CK953" s="21"/>
      <c r="CL953" s="21"/>
      <c r="CM953" s="21"/>
      <c r="CN953" s="21"/>
      <c r="CO953" s="21"/>
      <c r="CP953" s="21"/>
      <c r="CQ953" s="21"/>
      <c r="CR953" s="21"/>
      <c r="CS953" s="21"/>
      <c r="CT953" s="21"/>
      <c r="CU953" s="21"/>
      <c r="CV953" s="21"/>
      <c r="CW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  <c r="BQ954" s="21"/>
      <c r="BR954" s="21"/>
      <c r="BS954" s="21"/>
      <c r="BT954" s="21"/>
      <c r="BU954" s="21"/>
      <c r="BV954" s="21"/>
      <c r="BW954" s="21"/>
      <c r="BX954" s="21"/>
      <c r="BY954" s="21"/>
      <c r="BZ954" s="21"/>
      <c r="CA954" s="21"/>
      <c r="CB954" s="21"/>
      <c r="CC954" s="21"/>
      <c r="CD954" s="21"/>
      <c r="CE954" s="21"/>
      <c r="CF954" s="21"/>
      <c r="CG954" s="21"/>
      <c r="CH954" s="21"/>
      <c r="CI954" s="21"/>
      <c r="CJ954" s="21"/>
      <c r="CK954" s="21"/>
      <c r="CL954" s="21"/>
      <c r="CM954" s="21"/>
      <c r="CN954" s="21"/>
      <c r="CO954" s="21"/>
      <c r="CP954" s="21"/>
      <c r="CQ954" s="21"/>
      <c r="CR954" s="21"/>
      <c r="CS954" s="21"/>
      <c r="CT954" s="21"/>
      <c r="CU954" s="21"/>
      <c r="CV954" s="21"/>
      <c r="CW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  <c r="BQ955" s="21"/>
      <c r="BR955" s="21"/>
      <c r="BS955" s="21"/>
      <c r="BT955" s="21"/>
      <c r="BU955" s="21"/>
      <c r="BV955" s="21"/>
      <c r="BW955" s="21"/>
      <c r="BX955" s="21"/>
      <c r="BY955" s="21"/>
      <c r="BZ955" s="21"/>
      <c r="CA955" s="21"/>
      <c r="CB955" s="21"/>
      <c r="CC955" s="21"/>
      <c r="CD955" s="21"/>
      <c r="CE955" s="21"/>
      <c r="CF955" s="21"/>
      <c r="CG955" s="21"/>
      <c r="CH955" s="21"/>
      <c r="CI955" s="21"/>
      <c r="CJ955" s="21"/>
      <c r="CK955" s="21"/>
      <c r="CL955" s="21"/>
      <c r="CM955" s="21"/>
      <c r="CN955" s="21"/>
      <c r="CO955" s="21"/>
      <c r="CP955" s="21"/>
      <c r="CQ955" s="21"/>
      <c r="CR955" s="21"/>
      <c r="CS955" s="21"/>
      <c r="CT955" s="21"/>
      <c r="CU955" s="21"/>
      <c r="CV955" s="21"/>
      <c r="CW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  <c r="BP956" s="21"/>
      <c r="BQ956" s="21"/>
      <c r="BR956" s="21"/>
      <c r="BS956" s="21"/>
      <c r="BT956" s="21"/>
      <c r="BU956" s="21"/>
      <c r="BV956" s="21"/>
      <c r="BW956" s="21"/>
      <c r="BX956" s="21"/>
      <c r="BY956" s="21"/>
      <c r="BZ956" s="21"/>
      <c r="CA956" s="21"/>
      <c r="CB956" s="21"/>
      <c r="CC956" s="21"/>
      <c r="CD956" s="21"/>
      <c r="CE956" s="21"/>
      <c r="CF956" s="21"/>
      <c r="CG956" s="21"/>
      <c r="CH956" s="21"/>
      <c r="CI956" s="21"/>
      <c r="CJ956" s="21"/>
      <c r="CK956" s="21"/>
      <c r="CL956" s="21"/>
      <c r="CM956" s="21"/>
      <c r="CN956" s="21"/>
      <c r="CO956" s="21"/>
      <c r="CP956" s="21"/>
      <c r="CQ956" s="21"/>
      <c r="CR956" s="21"/>
      <c r="CS956" s="21"/>
      <c r="CT956" s="21"/>
      <c r="CU956" s="21"/>
      <c r="CV956" s="21"/>
      <c r="CW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  <c r="BP957" s="21"/>
      <c r="BQ957" s="21"/>
      <c r="BR957" s="21"/>
      <c r="BS957" s="21"/>
      <c r="BT957" s="21"/>
      <c r="BU957" s="21"/>
      <c r="BV957" s="21"/>
      <c r="BW957" s="21"/>
      <c r="BX957" s="21"/>
      <c r="BY957" s="21"/>
      <c r="BZ957" s="21"/>
      <c r="CA957" s="21"/>
      <c r="CB957" s="21"/>
      <c r="CC957" s="21"/>
      <c r="CD957" s="21"/>
      <c r="CE957" s="21"/>
      <c r="CF957" s="21"/>
      <c r="CG957" s="21"/>
      <c r="CH957" s="21"/>
      <c r="CI957" s="21"/>
      <c r="CJ957" s="21"/>
      <c r="CK957" s="21"/>
      <c r="CL957" s="21"/>
      <c r="CM957" s="21"/>
      <c r="CN957" s="21"/>
      <c r="CO957" s="21"/>
      <c r="CP957" s="21"/>
      <c r="CQ957" s="21"/>
      <c r="CR957" s="21"/>
      <c r="CS957" s="21"/>
      <c r="CT957" s="21"/>
      <c r="CU957" s="21"/>
      <c r="CV957" s="21"/>
      <c r="CW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  <c r="BP958" s="21"/>
      <c r="BQ958" s="21"/>
      <c r="BR958" s="21"/>
      <c r="BS958" s="21"/>
      <c r="BT958" s="21"/>
      <c r="BU958" s="21"/>
      <c r="BV958" s="21"/>
      <c r="BW958" s="21"/>
      <c r="BX958" s="21"/>
      <c r="BY958" s="21"/>
      <c r="BZ958" s="21"/>
      <c r="CA958" s="21"/>
      <c r="CB958" s="21"/>
      <c r="CC958" s="21"/>
      <c r="CD958" s="21"/>
      <c r="CE958" s="21"/>
      <c r="CF958" s="21"/>
      <c r="CG958" s="21"/>
      <c r="CH958" s="21"/>
      <c r="CI958" s="21"/>
      <c r="CJ958" s="21"/>
      <c r="CK958" s="21"/>
      <c r="CL958" s="21"/>
      <c r="CM958" s="21"/>
      <c r="CN958" s="21"/>
      <c r="CO958" s="21"/>
      <c r="CP958" s="21"/>
      <c r="CQ958" s="21"/>
      <c r="CR958" s="21"/>
      <c r="CS958" s="21"/>
      <c r="CT958" s="21"/>
      <c r="CU958" s="21"/>
      <c r="CV958" s="21"/>
      <c r="CW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  <c r="BO959" s="21"/>
      <c r="BP959" s="21"/>
      <c r="BQ959" s="21"/>
      <c r="BR959" s="21"/>
      <c r="BS959" s="21"/>
      <c r="BT959" s="21"/>
      <c r="BU959" s="21"/>
      <c r="BV959" s="21"/>
      <c r="BW959" s="21"/>
      <c r="BX959" s="21"/>
      <c r="BY959" s="21"/>
      <c r="BZ959" s="21"/>
      <c r="CA959" s="21"/>
      <c r="CB959" s="21"/>
      <c r="CC959" s="21"/>
      <c r="CD959" s="21"/>
      <c r="CE959" s="21"/>
      <c r="CF959" s="21"/>
      <c r="CG959" s="21"/>
      <c r="CH959" s="21"/>
      <c r="CI959" s="21"/>
      <c r="CJ959" s="21"/>
      <c r="CK959" s="21"/>
      <c r="CL959" s="21"/>
      <c r="CM959" s="21"/>
      <c r="CN959" s="21"/>
      <c r="CO959" s="21"/>
      <c r="CP959" s="21"/>
      <c r="CQ959" s="21"/>
      <c r="CR959" s="21"/>
      <c r="CS959" s="21"/>
      <c r="CT959" s="21"/>
      <c r="CU959" s="21"/>
      <c r="CV959" s="21"/>
      <c r="CW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  <c r="BP960" s="21"/>
      <c r="BQ960" s="21"/>
      <c r="BR960" s="21"/>
      <c r="BS960" s="21"/>
      <c r="BT960" s="21"/>
      <c r="BU960" s="21"/>
      <c r="BV960" s="21"/>
      <c r="BW960" s="21"/>
      <c r="BX960" s="21"/>
      <c r="BY960" s="21"/>
      <c r="BZ960" s="21"/>
      <c r="CA960" s="21"/>
      <c r="CB960" s="21"/>
      <c r="CC960" s="21"/>
      <c r="CD960" s="21"/>
      <c r="CE960" s="21"/>
      <c r="CF960" s="21"/>
      <c r="CG960" s="21"/>
      <c r="CH960" s="21"/>
      <c r="CI960" s="21"/>
      <c r="CJ960" s="21"/>
      <c r="CK960" s="21"/>
      <c r="CL960" s="21"/>
      <c r="CM960" s="21"/>
      <c r="CN960" s="21"/>
      <c r="CO960" s="21"/>
      <c r="CP960" s="21"/>
      <c r="CQ960" s="21"/>
      <c r="CR960" s="21"/>
      <c r="CS960" s="21"/>
      <c r="CT960" s="21"/>
      <c r="CU960" s="21"/>
      <c r="CV960" s="21"/>
      <c r="CW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  <c r="BO961" s="21"/>
      <c r="BP961" s="21"/>
      <c r="BQ961" s="21"/>
      <c r="BR961" s="21"/>
      <c r="BS961" s="21"/>
      <c r="BT961" s="21"/>
      <c r="BU961" s="21"/>
      <c r="BV961" s="21"/>
      <c r="BW961" s="21"/>
      <c r="BX961" s="21"/>
      <c r="BY961" s="21"/>
      <c r="BZ961" s="21"/>
      <c r="CA961" s="21"/>
      <c r="CB961" s="21"/>
      <c r="CC961" s="21"/>
      <c r="CD961" s="21"/>
      <c r="CE961" s="21"/>
      <c r="CF961" s="21"/>
      <c r="CG961" s="21"/>
      <c r="CH961" s="21"/>
      <c r="CI961" s="21"/>
      <c r="CJ961" s="21"/>
      <c r="CK961" s="21"/>
      <c r="CL961" s="21"/>
      <c r="CM961" s="21"/>
      <c r="CN961" s="21"/>
      <c r="CO961" s="21"/>
      <c r="CP961" s="21"/>
      <c r="CQ961" s="21"/>
      <c r="CR961" s="21"/>
      <c r="CS961" s="21"/>
      <c r="CT961" s="21"/>
      <c r="CU961" s="21"/>
      <c r="CV961" s="21"/>
      <c r="CW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  <c r="BP962" s="21"/>
      <c r="BQ962" s="21"/>
      <c r="BR962" s="21"/>
      <c r="BS962" s="21"/>
      <c r="BT962" s="21"/>
      <c r="BU962" s="21"/>
      <c r="BV962" s="21"/>
      <c r="BW962" s="21"/>
      <c r="BX962" s="21"/>
      <c r="BY962" s="21"/>
      <c r="BZ962" s="21"/>
      <c r="CA962" s="21"/>
      <c r="CB962" s="21"/>
      <c r="CC962" s="21"/>
      <c r="CD962" s="21"/>
      <c r="CE962" s="21"/>
      <c r="CF962" s="21"/>
      <c r="CG962" s="21"/>
      <c r="CH962" s="21"/>
      <c r="CI962" s="21"/>
      <c r="CJ962" s="21"/>
      <c r="CK962" s="21"/>
      <c r="CL962" s="21"/>
      <c r="CM962" s="21"/>
      <c r="CN962" s="21"/>
      <c r="CO962" s="21"/>
      <c r="CP962" s="21"/>
      <c r="CQ962" s="21"/>
      <c r="CR962" s="21"/>
      <c r="CS962" s="21"/>
      <c r="CT962" s="21"/>
      <c r="CU962" s="21"/>
      <c r="CV962" s="21"/>
      <c r="CW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  <c r="BP963" s="21"/>
      <c r="BQ963" s="21"/>
      <c r="BR963" s="21"/>
      <c r="BS963" s="21"/>
      <c r="BT963" s="21"/>
      <c r="BU963" s="21"/>
      <c r="BV963" s="21"/>
      <c r="BW963" s="21"/>
      <c r="BX963" s="21"/>
      <c r="BY963" s="21"/>
      <c r="BZ963" s="21"/>
      <c r="CA963" s="21"/>
      <c r="CB963" s="21"/>
      <c r="CC963" s="21"/>
      <c r="CD963" s="21"/>
      <c r="CE963" s="21"/>
      <c r="CF963" s="21"/>
      <c r="CG963" s="21"/>
      <c r="CH963" s="21"/>
      <c r="CI963" s="21"/>
      <c r="CJ963" s="21"/>
      <c r="CK963" s="21"/>
      <c r="CL963" s="21"/>
      <c r="CM963" s="21"/>
      <c r="CN963" s="21"/>
      <c r="CO963" s="21"/>
      <c r="CP963" s="21"/>
      <c r="CQ963" s="21"/>
      <c r="CR963" s="21"/>
      <c r="CS963" s="21"/>
      <c r="CT963" s="21"/>
      <c r="CU963" s="21"/>
      <c r="CV963" s="21"/>
      <c r="CW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  <c r="BQ964" s="21"/>
      <c r="BR964" s="21"/>
      <c r="BS964" s="21"/>
      <c r="BT964" s="21"/>
      <c r="BU964" s="21"/>
      <c r="BV964" s="21"/>
      <c r="BW964" s="21"/>
      <c r="BX964" s="21"/>
      <c r="BY964" s="21"/>
      <c r="BZ964" s="21"/>
      <c r="CA964" s="21"/>
      <c r="CB964" s="21"/>
      <c r="CC964" s="21"/>
      <c r="CD964" s="21"/>
      <c r="CE964" s="21"/>
      <c r="CF964" s="21"/>
      <c r="CG964" s="21"/>
      <c r="CH964" s="21"/>
      <c r="CI964" s="21"/>
      <c r="CJ964" s="21"/>
      <c r="CK964" s="21"/>
      <c r="CL964" s="21"/>
      <c r="CM964" s="21"/>
      <c r="CN964" s="21"/>
      <c r="CO964" s="21"/>
      <c r="CP964" s="21"/>
      <c r="CQ964" s="21"/>
      <c r="CR964" s="21"/>
      <c r="CS964" s="21"/>
      <c r="CT964" s="21"/>
      <c r="CU964" s="21"/>
      <c r="CV964" s="21"/>
      <c r="CW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  <c r="BQ965" s="21"/>
      <c r="BR965" s="21"/>
      <c r="BS965" s="21"/>
      <c r="BT965" s="21"/>
      <c r="BU965" s="21"/>
      <c r="BV965" s="21"/>
      <c r="BW965" s="21"/>
      <c r="BX965" s="21"/>
      <c r="BY965" s="21"/>
      <c r="BZ965" s="21"/>
      <c r="CA965" s="21"/>
      <c r="CB965" s="21"/>
      <c r="CC965" s="21"/>
      <c r="CD965" s="21"/>
      <c r="CE965" s="21"/>
      <c r="CF965" s="21"/>
      <c r="CG965" s="21"/>
      <c r="CH965" s="21"/>
      <c r="CI965" s="21"/>
      <c r="CJ965" s="21"/>
      <c r="CK965" s="21"/>
      <c r="CL965" s="21"/>
      <c r="CM965" s="21"/>
      <c r="CN965" s="21"/>
      <c r="CO965" s="21"/>
      <c r="CP965" s="21"/>
      <c r="CQ965" s="21"/>
      <c r="CR965" s="21"/>
      <c r="CS965" s="21"/>
      <c r="CT965" s="21"/>
      <c r="CU965" s="21"/>
      <c r="CV965" s="21"/>
      <c r="CW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  <c r="BP966" s="21"/>
      <c r="BQ966" s="21"/>
      <c r="BR966" s="21"/>
      <c r="BS966" s="21"/>
      <c r="BT966" s="21"/>
      <c r="BU966" s="21"/>
      <c r="BV966" s="21"/>
      <c r="BW966" s="21"/>
      <c r="BX966" s="21"/>
      <c r="BY966" s="21"/>
      <c r="BZ966" s="21"/>
      <c r="CA966" s="21"/>
      <c r="CB966" s="21"/>
      <c r="CC966" s="21"/>
      <c r="CD966" s="21"/>
      <c r="CE966" s="21"/>
      <c r="CF966" s="21"/>
      <c r="CG966" s="21"/>
      <c r="CH966" s="21"/>
      <c r="CI966" s="21"/>
      <c r="CJ966" s="21"/>
      <c r="CK966" s="21"/>
      <c r="CL966" s="21"/>
      <c r="CM966" s="21"/>
      <c r="CN966" s="21"/>
      <c r="CO966" s="21"/>
      <c r="CP966" s="21"/>
      <c r="CQ966" s="21"/>
      <c r="CR966" s="21"/>
      <c r="CS966" s="21"/>
      <c r="CT966" s="21"/>
      <c r="CU966" s="21"/>
      <c r="CV966" s="21"/>
      <c r="CW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  <c r="BP967" s="21"/>
      <c r="BQ967" s="21"/>
      <c r="BR967" s="21"/>
      <c r="BS967" s="21"/>
      <c r="BT967" s="21"/>
      <c r="BU967" s="21"/>
      <c r="BV967" s="21"/>
      <c r="BW967" s="21"/>
      <c r="BX967" s="21"/>
      <c r="BY967" s="21"/>
      <c r="BZ967" s="21"/>
      <c r="CA967" s="21"/>
      <c r="CB967" s="21"/>
      <c r="CC967" s="21"/>
      <c r="CD967" s="21"/>
      <c r="CE967" s="21"/>
      <c r="CF967" s="21"/>
      <c r="CG967" s="21"/>
      <c r="CH967" s="21"/>
      <c r="CI967" s="21"/>
      <c r="CJ967" s="21"/>
      <c r="CK967" s="21"/>
      <c r="CL967" s="21"/>
      <c r="CM967" s="21"/>
      <c r="CN967" s="21"/>
      <c r="CO967" s="21"/>
      <c r="CP967" s="21"/>
      <c r="CQ967" s="21"/>
      <c r="CR967" s="21"/>
      <c r="CS967" s="21"/>
      <c r="CT967" s="21"/>
      <c r="CU967" s="21"/>
      <c r="CV967" s="21"/>
      <c r="CW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/>
      <c r="BQ968" s="21"/>
      <c r="BR968" s="21"/>
      <c r="BS968" s="21"/>
      <c r="BT968" s="21"/>
      <c r="BU968" s="21"/>
      <c r="BV968" s="21"/>
      <c r="BW968" s="21"/>
      <c r="BX968" s="21"/>
      <c r="BY968" s="21"/>
      <c r="BZ968" s="21"/>
      <c r="CA968" s="21"/>
      <c r="CB968" s="21"/>
      <c r="CC968" s="21"/>
      <c r="CD968" s="21"/>
      <c r="CE968" s="21"/>
      <c r="CF968" s="21"/>
      <c r="CG968" s="21"/>
      <c r="CH968" s="21"/>
      <c r="CI968" s="21"/>
      <c r="CJ968" s="21"/>
      <c r="CK968" s="21"/>
      <c r="CL968" s="21"/>
      <c r="CM968" s="21"/>
      <c r="CN968" s="21"/>
      <c r="CO968" s="21"/>
      <c r="CP968" s="21"/>
      <c r="CQ968" s="21"/>
      <c r="CR968" s="21"/>
      <c r="CS968" s="21"/>
      <c r="CT968" s="21"/>
      <c r="CU968" s="21"/>
      <c r="CV968" s="21"/>
      <c r="CW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  <c r="BQ969" s="21"/>
      <c r="BR969" s="21"/>
      <c r="BS969" s="21"/>
      <c r="BT969" s="21"/>
      <c r="BU969" s="21"/>
      <c r="BV969" s="21"/>
      <c r="BW969" s="21"/>
      <c r="BX969" s="21"/>
      <c r="BY969" s="21"/>
      <c r="BZ969" s="21"/>
      <c r="CA969" s="21"/>
      <c r="CB969" s="21"/>
      <c r="CC969" s="21"/>
      <c r="CD969" s="21"/>
      <c r="CE969" s="21"/>
      <c r="CF969" s="21"/>
      <c r="CG969" s="21"/>
      <c r="CH969" s="21"/>
      <c r="CI969" s="21"/>
      <c r="CJ969" s="21"/>
      <c r="CK969" s="21"/>
      <c r="CL969" s="21"/>
      <c r="CM969" s="21"/>
      <c r="CN969" s="21"/>
      <c r="CO969" s="21"/>
      <c r="CP969" s="21"/>
      <c r="CQ969" s="21"/>
      <c r="CR969" s="21"/>
      <c r="CS969" s="21"/>
      <c r="CT969" s="21"/>
      <c r="CU969" s="21"/>
      <c r="CV969" s="21"/>
      <c r="CW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  <c r="BP970" s="21"/>
      <c r="BQ970" s="21"/>
      <c r="BR970" s="21"/>
      <c r="BS970" s="21"/>
      <c r="BT970" s="21"/>
      <c r="BU970" s="21"/>
      <c r="BV970" s="21"/>
      <c r="BW970" s="21"/>
      <c r="BX970" s="21"/>
      <c r="BY970" s="21"/>
      <c r="BZ970" s="21"/>
      <c r="CA970" s="21"/>
      <c r="CB970" s="21"/>
      <c r="CC970" s="21"/>
      <c r="CD970" s="21"/>
      <c r="CE970" s="21"/>
      <c r="CF970" s="21"/>
      <c r="CG970" s="21"/>
      <c r="CH970" s="21"/>
      <c r="CI970" s="21"/>
      <c r="CJ970" s="21"/>
      <c r="CK970" s="21"/>
      <c r="CL970" s="21"/>
      <c r="CM970" s="21"/>
      <c r="CN970" s="21"/>
      <c r="CO970" s="21"/>
      <c r="CP970" s="21"/>
      <c r="CQ970" s="21"/>
      <c r="CR970" s="21"/>
      <c r="CS970" s="21"/>
      <c r="CT970" s="21"/>
      <c r="CU970" s="21"/>
      <c r="CV970" s="21"/>
      <c r="CW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  <c r="BP971" s="21"/>
      <c r="BQ971" s="21"/>
      <c r="BR971" s="21"/>
      <c r="BS971" s="21"/>
      <c r="BT971" s="21"/>
      <c r="BU971" s="21"/>
      <c r="BV971" s="21"/>
      <c r="BW971" s="21"/>
      <c r="BX971" s="21"/>
      <c r="BY971" s="21"/>
      <c r="BZ971" s="21"/>
      <c r="CA971" s="21"/>
      <c r="CB971" s="21"/>
      <c r="CC971" s="21"/>
      <c r="CD971" s="21"/>
      <c r="CE971" s="21"/>
      <c r="CF971" s="21"/>
      <c r="CG971" s="21"/>
      <c r="CH971" s="21"/>
      <c r="CI971" s="21"/>
      <c r="CJ971" s="21"/>
      <c r="CK971" s="21"/>
      <c r="CL971" s="21"/>
      <c r="CM971" s="21"/>
      <c r="CN971" s="21"/>
      <c r="CO971" s="21"/>
      <c r="CP971" s="21"/>
      <c r="CQ971" s="21"/>
      <c r="CR971" s="21"/>
      <c r="CS971" s="21"/>
      <c r="CT971" s="21"/>
      <c r="CU971" s="21"/>
      <c r="CV971" s="21"/>
      <c r="CW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  <c r="BP972" s="21"/>
      <c r="BQ972" s="21"/>
      <c r="BR972" s="21"/>
      <c r="BS972" s="21"/>
      <c r="BT972" s="21"/>
      <c r="BU972" s="21"/>
      <c r="BV972" s="21"/>
      <c r="BW972" s="21"/>
      <c r="BX972" s="21"/>
      <c r="BY972" s="21"/>
      <c r="BZ972" s="21"/>
      <c r="CA972" s="21"/>
      <c r="CB972" s="21"/>
      <c r="CC972" s="21"/>
      <c r="CD972" s="21"/>
      <c r="CE972" s="21"/>
      <c r="CF972" s="21"/>
      <c r="CG972" s="21"/>
      <c r="CH972" s="21"/>
      <c r="CI972" s="21"/>
      <c r="CJ972" s="21"/>
      <c r="CK972" s="21"/>
      <c r="CL972" s="21"/>
      <c r="CM972" s="21"/>
      <c r="CN972" s="21"/>
      <c r="CO972" s="21"/>
      <c r="CP972" s="21"/>
      <c r="CQ972" s="21"/>
      <c r="CR972" s="21"/>
      <c r="CS972" s="21"/>
      <c r="CT972" s="21"/>
      <c r="CU972" s="21"/>
      <c r="CV972" s="21"/>
      <c r="CW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  <c r="BO973" s="21"/>
      <c r="BP973" s="21"/>
      <c r="BQ973" s="21"/>
      <c r="BR973" s="21"/>
      <c r="BS973" s="21"/>
      <c r="BT973" s="21"/>
      <c r="BU973" s="21"/>
      <c r="BV973" s="21"/>
      <c r="BW973" s="21"/>
      <c r="BX973" s="21"/>
      <c r="BY973" s="21"/>
      <c r="BZ973" s="21"/>
      <c r="CA973" s="21"/>
      <c r="CB973" s="21"/>
      <c r="CC973" s="21"/>
      <c r="CD973" s="21"/>
      <c r="CE973" s="21"/>
      <c r="CF973" s="21"/>
      <c r="CG973" s="21"/>
      <c r="CH973" s="21"/>
      <c r="CI973" s="21"/>
      <c r="CJ973" s="21"/>
      <c r="CK973" s="21"/>
      <c r="CL973" s="21"/>
      <c r="CM973" s="21"/>
      <c r="CN973" s="21"/>
      <c r="CO973" s="21"/>
      <c r="CP973" s="21"/>
      <c r="CQ973" s="21"/>
      <c r="CR973" s="21"/>
      <c r="CS973" s="21"/>
      <c r="CT973" s="21"/>
      <c r="CU973" s="21"/>
      <c r="CV973" s="21"/>
      <c r="CW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  <c r="BO974" s="21"/>
      <c r="BP974" s="21"/>
      <c r="BQ974" s="21"/>
      <c r="BR974" s="21"/>
      <c r="BS974" s="21"/>
      <c r="BT974" s="21"/>
      <c r="BU974" s="21"/>
      <c r="BV974" s="21"/>
      <c r="BW974" s="21"/>
      <c r="BX974" s="21"/>
      <c r="BY974" s="21"/>
      <c r="BZ974" s="21"/>
      <c r="CA974" s="21"/>
      <c r="CB974" s="21"/>
      <c r="CC974" s="21"/>
      <c r="CD974" s="21"/>
      <c r="CE974" s="21"/>
      <c r="CF974" s="21"/>
      <c r="CG974" s="21"/>
      <c r="CH974" s="21"/>
      <c r="CI974" s="21"/>
      <c r="CJ974" s="21"/>
      <c r="CK974" s="21"/>
      <c r="CL974" s="21"/>
      <c r="CM974" s="21"/>
      <c r="CN974" s="21"/>
      <c r="CO974" s="21"/>
      <c r="CP974" s="21"/>
      <c r="CQ974" s="21"/>
      <c r="CR974" s="21"/>
      <c r="CS974" s="21"/>
      <c r="CT974" s="21"/>
      <c r="CU974" s="21"/>
      <c r="CV974" s="21"/>
      <c r="CW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  <c r="BP975" s="21"/>
      <c r="BQ975" s="21"/>
      <c r="BR975" s="21"/>
      <c r="BS975" s="21"/>
      <c r="BT975" s="21"/>
      <c r="BU975" s="21"/>
      <c r="BV975" s="21"/>
      <c r="BW975" s="21"/>
      <c r="BX975" s="21"/>
      <c r="BY975" s="21"/>
      <c r="BZ975" s="21"/>
      <c r="CA975" s="21"/>
      <c r="CB975" s="21"/>
      <c r="CC975" s="21"/>
      <c r="CD975" s="21"/>
      <c r="CE975" s="21"/>
      <c r="CF975" s="21"/>
      <c r="CG975" s="21"/>
      <c r="CH975" s="21"/>
      <c r="CI975" s="21"/>
      <c r="CJ975" s="21"/>
      <c r="CK975" s="21"/>
      <c r="CL975" s="21"/>
      <c r="CM975" s="21"/>
      <c r="CN975" s="21"/>
      <c r="CO975" s="21"/>
      <c r="CP975" s="21"/>
      <c r="CQ975" s="21"/>
      <c r="CR975" s="21"/>
      <c r="CS975" s="21"/>
      <c r="CT975" s="21"/>
      <c r="CU975" s="21"/>
      <c r="CV975" s="21"/>
      <c r="CW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  <c r="BP976" s="21"/>
      <c r="BQ976" s="21"/>
      <c r="BR976" s="21"/>
      <c r="BS976" s="21"/>
      <c r="BT976" s="21"/>
      <c r="BU976" s="21"/>
      <c r="BV976" s="21"/>
      <c r="BW976" s="21"/>
      <c r="BX976" s="21"/>
      <c r="BY976" s="21"/>
      <c r="BZ976" s="21"/>
      <c r="CA976" s="21"/>
      <c r="CB976" s="21"/>
      <c r="CC976" s="21"/>
      <c r="CD976" s="21"/>
      <c r="CE976" s="21"/>
      <c r="CF976" s="21"/>
      <c r="CG976" s="21"/>
      <c r="CH976" s="21"/>
      <c r="CI976" s="21"/>
      <c r="CJ976" s="21"/>
      <c r="CK976" s="21"/>
      <c r="CL976" s="21"/>
      <c r="CM976" s="21"/>
      <c r="CN976" s="21"/>
      <c r="CO976" s="21"/>
      <c r="CP976" s="21"/>
      <c r="CQ976" s="21"/>
      <c r="CR976" s="21"/>
      <c r="CS976" s="21"/>
      <c r="CT976" s="21"/>
      <c r="CU976" s="21"/>
      <c r="CV976" s="21"/>
      <c r="CW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  <c r="BP977" s="21"/>
      <c r="BQ977" s="21"/>
      <c r="BR977" s="21"/>
      <c r="BS977" s="21"/>
      <c r="BT977" s="21"/>
      <c r="BU977" s="21"/>
      <c r="BV977" s="21"/>
      <c r="BW977" s="21"/>
      <c r="BX977" s="21"/>
      <c r="BY977" s="21"/>
      <c r="BZ977" s="21"/>
      <c r="CA977" s="21"/>
      <c r="CB977" s="21"/>
      <c r="CC977" s="21"/>
      <c r="CD977" s="21"/>
      <c r="CE977" s="21"/>
      <c r="CF977" s="21"/>
      <c r="CG977" s="21"/>
      <c r="CH977" s="21"/>
      <c r="CI977" s="21"/>
      <c r="CJ977" s="21"/>
      <c r="CK977" s="21"/>
      <c r="CL977" s="21"/>
      <c r="CM977" s="21"/>
      <c r="CN977" s="21"/>
      <c r="CO977" s="21"/>
      <c r="CP977" s="21"/>
      <c r="CQ977" s="21"/>
      <c r="CR977" s="21"/>
      <c r="CS977" s="21"/>
      <c r="CT977" s="21"/>
      <c r="CU977" s="21"/>
      <c r="CV977" s="21"/>
      <c r="CW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  <c r="BP978" s="21"/>
      <c r="BQ978" s="21"/>
      <c r="BR978" s="21"/>
      <c r="BS978" s="21"/>
      <c r="BT978" s="21"/>
      <c r="BU978" s="21"/>
      <c r="BV978" s="21"/>
      <c r="BW978" s="21"/>
      <c r="BX978" s="21"/>
      <c r="BY978" s="21"/>
      <c r="BZ978" s="21"/>
      <c r="CA978" s="21"/>
      <c r="CB978" s="21"/>
      <c r="CC978" s="21"/>
      <c r="CD978" s="21"/>
      <c r="CE978" s="21"/>
      <c r="CF978" s="21"/>
      <c r="CG978" s="21"/>
      <c r="CH978" s="21"/>
      <c r="CI978" s="21"/>
      <c r="CJ978" s="21"/>
      <c r="CK978" s="21"/>
      <c r="CL978" s="21"/>
      <c r="CM978" s="21"/>
      <c r="CN978" s="21"/>
      <c r="CO978" s="21"/>
      <c r="CP978" s="21"/>
      <c r="CQ978" s="21"/>
      <c r="CR978" s="21"/>
      <c r="CS978" s="21"/>
      <c r="CT978" s="21"/>
      <c r="CU978" s="21"/>
      <c r="CV978" s="21"/>
      <c r="CW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  <c r="BP979" s="21"/>
      <c r="BQ979" s="21"/>
      <c r="BR979" s="21"/>
      <c r="BS979" s="21"/>
      <c r="BT979" s="21"/>
      <c r="BU979" s="21"/>
      <c r="BV979" s="21"/>
      <c r="BW979" s="21"/>
      <c r="BX979" s="21"/>
      <c r="BY979" s="21"/>
      <c r="BZ979" s="21"/>
      <c r="CA979" s="21"/>
      <c r="CB979" s="21"/>
      <c r="CC979" s="21"/>
      <c r="CD979" s="21"/>
      <c r="CE979" s="21"/>
      <c r="CF979" s="21"/>
      <c r="CG979" s="21"/>
      <c r="CH979" s="21"/>
      <c r="CI979" s="21"/>
      <c r="CJ979" s="21"/>
      <c r="CK979" s="21"/>
      <c r="CL979" s="21"/>
      <c r="CM979" s="21"/>
      <c r="CN979" s="21"/>
      <c r="CO979" s="21"/>
      <c r="CP979" s="21"/>
      <c r="CQ979" s="21"/>
      <c r="CR979" s="21"/>
      <c r="CS979" s="21"/>
      <c r="CT979" s="21"/>
      <c r="CU979" s="21"/>
      <c r="CV979" s="21"/>
      <c r="CW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21"/>
      <c r="BQ980" s="21"/>
      <c r="BR980" s="21"/>
      <c r="BS980" s="21"/>
      <c r="BT980" s="21"/>
      <c r="BU980" s="21"/>
      <c r="BV980" s="21"/>
      <c r="BW980" s="21"/>
      <c r="BX980" s="21"/>
      <c r="BY980" s="21"/>
      <c r="BZ980" s="21"/>
      <c r="CA980" s="21"/>
      <c r="CB980" s="21"/>
      <c r="CC980" s="21"/>
      <c r="CD980" s="21"/>
      <c r="CE980" s="21"/>
      <c r="CF980" s="21"/>
      <c r="CG980" s="21"/>
      <c r="CH980" s="21"/>
      <c r="CI980" s="21"/>
      <c r="CJ980" s="21"/>
      <c r="CK980" s="21"/>
      <c r="CL980" s="21"/>
      <c r="CM980" s="21"/>
      <c r="CN980" s="21"/>
      <c r="CO980" s="21"/>
      <c r="CP980" s="21"/>
      <c r="CQ980" s="21"/>
      <c r="CR980" s="21"/>
      <c r="CS980" s="21"/>
      <c r="CT980" s="21"/>
      <c r="CU980" s="21"/>
      <c r="CV980" s="21"/>
      <c r="CW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  <c r="BP981" s="21"/>
      <c r="BQ981" s="21"/>
      <c r="BR981" s="21"/>
      <c r="BS981" s="21"/>
      <c r="BT981" s="21"/>
      <c r="BU981" s="21"/>
      <c r="BV981" s="21"/>
      <c r="BW981" s="21"/>
      <c r="BX981" s="21"/>
      <c r="BY981" s="21"/>
      <c r="BZ981" s="21"/>
      <c r="CA981" s="21"/>
      <c r="CB981" s="21"/>
      <c r="CC981" s="21"/>
      <c r="CD981" s="21"/>
      <c r="CE981" s="21"/>
      <c r="CF981" s="21"/>
      <c r="CG981" s="21"/>
      <c r="CH981" s="21"/>
      <c r="CI981" s="21"/>
      <c r="CJ981" s="21"/>
      <c r="CK981" s="21"/>
      <c r="CL981" s="21"/>
      <c r="CM981" s="21"/>
      <c r="CN981" s="21"/>
      <c r="CO981" s="21"/>
      <c r="CP981" s="21"/>
      <c r="CQ981" s="21"/>
      <c r="CR981" s="21"/>
      <c r="CS981" s="21"/>
      <c r="CT981" s="21"/>
      <c r="CU981" s="21"/>
      <c r="CV981" s="21"/>
      <c r="CW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  <c r="BP982" s="21"/>
      <c r="BQ982" s="21"/>
      <c r="BR982" s="21"/>
      <c r="BS982" s="21"/>
      <c r="BT982" s="21"/>
      <c r="BU982" s="21"/>
      <c r="BV982" s="21"/>
      <c r="BW982" s="21"/>
      <c r="BX982" s="21"/>
      <c r="BY982" s="21"/>
      <c r="BZ982" s="21"/>
      <c r="CA982" s="21"/>
      <c r="CB982" s="21"/>
      <c r="CC982" s="21"/>
      <c r="CD982" s="21"/>
      <c r="CE982" s="21"/>
      <c r="CF982" s="21"/>
      <c r="CG982" s="21"/>
      <c r="CH982" s="21"/>
      <c r="CI982" s="21"/>
      <c r="CJ982" s="21"/>
      <c r="CK982" s="21"/>
      <c r="CL982" s="21"/>
      <c r="CM982" s="21"/>
      <c r="CN982" s="21"/>
      <c r="CO982" s="21"/>
      <c r="CP982" s="21"/>
      <c r="CQ982" s="21"/>
      <c r="CR982" s="21"/>
      <c r="CS982" s="21"/>
      <c r="CT982" s="21"/>
      <c r="CU982" s="21"/>
      <c r="CV982" s="21"/>
      <c r="CW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  <c r="BP983" s="21"/>
      <c r="BQ983" s="21"/>
      <c r="BR983" s="21"/>
      <c r="BS983" s="21"/>
      <c r="BT983" s="21"/>
      <c r="BU983" s="21"/>
      <c r="BV983" s="21"/>
      <c r="BW983" s="21"/>
      <c r="BX983" s="21"/>
      <c r="BY983" s="21"/>
      <c r="BZ983" s="21"/>
      <c r="CA983" s="21"/>
      <c r="CB983" s="21"/>
      <c r="CC983" s="21"/>
      <c r="CD983" s="21"/>
      <c r="CE983" s="21"/>
      <c r="CF983" s="21"/>
      <c r="CG983" s="21"/>
      <c r="CH983" s="21"/>
      <c r="CI983" s="21"/>
      <c r="CJ983" s="21"/>
      <c r="CK983" s="21"/>
      <c r="CL983" s="21"/>
      <c r="CM983" s="21"/>
      <c r="CN983" s="21"/>
      <c r="CO983" s="21"/>
      <c r="CP983" s="21"/>
      <c r="CQ983" s="21"/>
      <c r="CR983" s="21"/>
      <c r="CS983" s="21"/>
      <c r="CT983" s="21"/>
      <c r="CU983" s="21"/>
      <c r="CV983" s="21"/>
      <c r="CW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  <c r="BP984" s="21"/>
      <c r="BQ984" s="21"/>
      <c r="BR984" s="21"/>
      <c r="BS984" s="21"/>
      <c r="BT984" s="21"/>
      <c r="BU984" s="21"/>
      <c r="BV984" s="21"/>
      <c r="BW984" s="21"/>
      <c r="BX984" s="21"/>
      <c r="BY984" s="21"/>
      <c r="BZ984" s="21"/>
      <c r="CA984" s="21"/>
      <c r="CB984" s="21"/>
      <c r="CC984" s="21"/>
      <c r="CD984" s="21"/>
      <c r="CE984" s="21"/>
      <c r="CF984" s="21"/>
      <c r="CG984" s="21"/>
      <c r="CH984" s="21"/>
      <c r="CI984" s="21"/>
      <c r="CJ984" s="21"/>
      <c r="CK984" s="21"/>
      <c r="CL984" s="21"/>
      <c r="CM984" s="21"/>
      <c r="CN984" s="21"/>
      <c r="CO984" s="21"/>
      <c r="CP984" s="21"/>
      <c r="CQ984" s="21"/>
      <c r="CR984" s="21"/>
      <c r="CS984" s="21"/>
      <c r="CT984" s="21"/>
      <c r="CU984" s="21"/>
      <c r="CV984" s="21"/>
      <c r="CW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  <c r="BQ985" s="21"/>
      <c r="BR985" s="21"/>
      <c r="BS985" s="21"/>
      <c r="BT985" s="21"/>
      <c r="BU985" s="21"/>
      <c r="BV985" s="21"/>
      <c r="BW985" s="21"/>
      <c r="BX985" s="21"/>
      <c r="BY985" s="21"/>
      <c r="BZ985" s="21"/>
      <c r="CA985" s="21"/>
      <c r="CB985" s="21"/>
      <c r="CC985" s="21"/>
      <c r="CD985" s="21"/>
      <c r="CE985" s="21"/>
      <c r="CF985" s="21"/>
      <c r="CG985" s="21"/>
      <c r="CH985" s="21"/>
      <c r="CI985" s="21"/>
      <c r="CJ985" s="21"/>
      <c r="CK985" s="21"/>
      <c r="CL985" s="21"/>
      <c r="CM985" s="21"/>
      <c r="CN985" s="21"/>
      <c r="CO985" s="21"/>
      <c r="CP985" s="21"/>
      <c r="CQ985" s="21"/>
      <c r="CR985" s="21"/>
      <c r="CS985" s="21"/>
      <c r="CT985" s="21"/>
      <c r="CU985" s="21"/>
      <c r="CV985" s="21"/>
      <c r="CW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  <c r="BP986" s="21"/>
      <c r="BQ986" s="21"/>
      <c r="BR986" s="21"/>
      <c r="BS986" s="21"/>
      <c r="BT986" s="21"/>
      <c r="BU986" s="21"/>
      <c r="BV986" s="21"/>
      <c r="BW986" s="21"/>
      <c r="BX986" s="21"/>
      <c r="BY986" s="21"/>
      <c r="BZ986" s="21"/>
      <c r="CA986" s="21"/>
      <c r="CB986" s="21"/>
      <c r="CC986" s="21"/>
      <c r="CD986" s="21"/>
      <c r="CE986" s="21"/>
      <c r="CF986" s="21"/>
      <c r="CG986" s="21"/>
      <c r="CH986" s="21"/>
      <c r="CI986" s="21"/>
      <c r="CJ986" s="21"/>
      <c r="CK986" s="21"/>
      <c r="CL986" s="21"/>
      <c r="CM986" s="21"/>
      <c r="CN986" s="21"/>
      <c r="CO986" s="21"/>
      <c r="CP986" s="21"/>
      <c r="CQ986" s="21"/>
      <c r="CR986" s="21"/>
      <c r="CS986" s="21"/>
      <c r="CT986" s="21"/>
      <c r="CU986" s="21"/>
      <c r="CV986" s="21"/>
      <c r="CW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  <c r="BQ987" s="21"/>
      <c r="BR987" s="21"/>
      <c r="BS987" s="21"/>
      <c r="BT987" s="21"/>
      <c r="BU987" s="21"/>
      <c r="BV987" s="21"/>
      <c r="BW987" s="21"/>
      <c r="BX987" s="21"/>
      <c r="BY987" s="21"/>
      <c r="BZ987" s="21"/>
      <c r="CA987" s="21"/>
      <c r="CB987" s="21"/>
      <c r="CC987" s="21"/>
      <c r="CD987" s="21"/>
      <c r="CE987" s="21"/>
      <c r="CF987" s="21"/>
      <c r="CG987" s="21"/>
      <c r="CH987" s="21"/>
      <c r="CI987" s="21"/>
      <c r="CJ987" s="21"/>
      <c r="CK987" s="21"/>
      <c r="CL987" s="21"/>
      <c r="CM987" s="21"/>
      <c r="CN987" s="21"/>
      <c r="CO987" s="21"/>
      <c r="CP987" s="21"/>
      <c r="CQ987" s="21"/>
      <c r="CR987" s="21"/>
      <c r="CS987" s="21"/>
      <c r="CT987" s="21"/>
      <c r="CU987" s="21"/>
      <c r="CV987" s="21"/>
      <c r="CW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  <c r="BP988" s="21"/>
      <c r="BQ988" s="21"/>
      <c r="BR988" s="21"/>
      <c r="BS988" s="21"/>
      <c r="BT988" s="21"/>
      <c r="BU988" s="21"/>
      <c r="BV988" s="21"/>
      <c r="BW988" s="21"/>
      <c r="BX988" s="21"/>
      <c r="BY988" s="21"/>
      <c r="BZ988" s="21"/>
      <c r="CA988" s="21"/>
      <c r="CB988" s="21"/>
      <c r="CC988" s="21"/>
      <c r="CD988" s="21"/>
      <c r="CE988" s="21"/>
      <c r="CF988" s="21"/>
      <c r="CG988" s="21"/>
      <c r="CH988" s="21"/>
      <c r="CI988" s="21"/>
      <c r="CJ988" s="21"/>
      <c r="CK988" s="21"/>
      <c r="CL988" s="21"/>
      <c r="CM988" s="21"/>
      <c r="CN988" s="21"/>
      <c r="CO988" s="21"/>
      <c r="CP988" s="21"/>
      <c r="CQ988" s="21"/>
      <c r="CR988" s="21"/>
      <c r="CS988" s="21"/>
      <c r="CT988" s="21"/>
      <c r="CU988" s="21"/>
      <c r="CV988" s="21"/>
      <c r="CW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  <c r="BP989" s="21"/>
      <c r="BQ989" s="21"/>
      <c r="BR989" s="21"/>
      <c r="BS989" s="21"/>
      <c r="BT989" s="21"/>
      <c r="BU989" s="21"/>
      <c r="BV989" s="21"/>
      <c r="BW989" s="21"/>
      <c r="BX989" s="21"/>
      <c r="BY989" s="21"/>
      <c r="BZ989" s="21"/>
      <c r="CA989" s="21"/>
      <c r="CB989" s="21"/>
      <c r="CC989" s="21"/>
      <c r="CD989" s="21"/>
      <c r="CE989" s="21"/>
      <c r="CF989" s="21"/>
      <c r="CG989" s="21"/>
      <c r="CH989" s="21"/>
      <c r="CI989" s="21"/>
      <c r="CJ989" s="21"/>
      <c r="CK989" s="21"/>
      <c r="CL989" s="21"/>
      <c r="CM989" s="21"/>
      <c r="CN989" s="21"/>
      <c r="CO989" s="21"/>
      <c r="CP989" s="21"/>
      <c r="CQ989" s="21"/>
      <c r="CR989" s="21"/>
      <c r="CS989" s="21"/>
      <c r="CT989" s="21"/>
      <c r="CU989" s="21"/>
      <c r="CV989" s="21"/>
      <c r="CW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  <c r="BP990" s="21"/>
      <c r="BQ990" s="21"/>
      <c r="BR990" s="21"/>
      <c r="BS990" s="21"/>
      <c r="BT990" s="21"/>
      <c r="BU990" s="21"/>
      <c r="BV990" s="21"/>
      <c r="BW990" s="21"/>
      <c r="BX990" s="21"/>
      <c r="BY990" s="21"/>
      <c r="BZ990" s="21"/>
      <c r="CA990" s="21"/>
      <c r="CB990" s="21"/>
      <c r="CC990" s="21"/>
      <c r="CD990" s="21"/>
      <c r="CE990" s="21"/>
      <c r="CF990" s="21"/>
      <c r="CG990" s="21"/>
      <c r="CH990" s="21"/>
      <c r="CI990" s="21"/>
      <c r="CJ990" s="21"/>
      <c r="CK990" s="21"/>
      <c r="CL990" s="21"/>
      <c r="CM990" s="21"/>
      <c r="CN990" s="21"/>
      <c r="CO990" s="21"/>
      <c r="CP990" s="21"/>
      <c r="CQ990" s="21"/>
      <c r="CR990" s="21"/>
      <c r="CS990" s="21"/>
      <c r="CT990" s="21"/>
      <c r="CU990" s="21"/>
      <c r="CV990" s="21"/>
      <c r="CW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  <c r="BP991" s="21"/>
      <c r="BQ991" s="21"/>
      <c r="BR991" s="21"/>
      <c r="BS991" s="21"/>
      <c r="BT991" s="21"/>
      <c r="BU991" s="21"/>
      <c r="BV991" s="21"/>
      <c r="BW991" s="21"/>
      <c r="BX991" s="21"/>
      <c r="BY991" s="21"/>
      <c r="BZ991" s="21"/>
      <c r="CA991" s="21"/>
      <c r="CB991" s="21"/>
      <c r="CC991" s="21"/>
      <c r="CD991" s="21"/>
      <c r="CE991" s="21"/>
      <c r="CF991" s="21"/>
      <c r="CG991" s="21"/>
      <c r="CH991" s="21"/>
      <c r="CI991" s="21"/>
      <c r="CJ991" s="21"/>
      <c r="CK991" s="21"/>
      <c r="CL991" s="21"/>
      <c r="CM991" s="21"/>
      <c r="CN991" s="21"/>
      <c r="CO991" s="21"/>
      <c r="CP991" s="21"/>
      <c r="CQ991" s="21"/>
      <c r="CR991" s="21"/>
      <c r="CS991" s="21"/>
      <c r="CT991" s="21"/>
      <c r="CU991" s="21"/>
      <c r="CV991" s="21"/>
      <c r="CW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  <c r="BP992" s="21"/>
      <c r="BQ992" s="21"/>
      <c r="BR992" s="21"/>
      <c r="BS992" s="21"/>
      <c r="BT992" s="21"/>
      <c r="BU992" s="21"/>
      <c r="BV992" s="21"/>
      <c r="BW992" s="21"/>
      <c r="BX992" s="21"/>
      <c r="BY992" s="21"/>
      <c r="BZ992" s="21"/>
      <c r="CA992" s="21"/>
      <c r="CB992" s="21"/>
      <c r="CC992" s="21"/>
      <c r="CD992" s="21"/>
      <c r="CE992" s="21"/>
      <c r="CF992" s="21"/>
      <c r="CG992" s="21"/>
      <c r="CH992" s="21"/>
      <c r="CI992" s="21"/>
      <c r="CJ992" s="21"/>
      <c r="CK992" s="21"/>
      <c r="CL992" s="21"/>
      <c r="CM992" s="21"/>
      <c r="CN992" s="21"/>
      <c r="CO992" s="21"/>
      <c r="CP992" s="21"/>
      <c r="CQ992" s="21"/>
      <c r="CR992" s="21"/>
      <c r="CS992" s="21"/>
      <c r="CT992" s="21"/>
      <c r="CU992" s="21"/>
      <c r="CV992" s="21"/>
      <c r="CW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  <c r="BP993" s="21"/>
      <c r="BQ993" s="21"/>
      <c r="BR993" s="21"/>
      <c r="BS993" s="21"/>
      <c r="BT993" s="21"/>
      <c r="BU993" s="21"/>
      <c r="BV993" s="21"/>
      <c r="BW993" s="21"/>
      <c r="BX993" s="21"/>
      <c r="BY993" s="21"/>
      <c r="BZ993" s="21"/>
      <c r="CA993" s="21"/>
      <c r="CB993" s="21"/>
      <c r="CC993" s="21"/>
      <c r="CD993" s="21"/>
      <c r="CE993" s="21"/>
      <c r="CF993" s="21"/>
      <c r="CG993" s="21"/>
      <c r="CH993" s="21"/>
      <c r="CI993" s="21"/>
      <c r="CJ993" s="21"/>
      <c r="CK993" s="21"/>
      <c r="CL993" s="21"/>
      <c r="CM993" s="21"/>
      <c r="CN993" s="21"/>
      <c r="CO993" s="21"/>
      <c r="CP993" s="21"/>
      <c r="CQ993" s="21"/>
      <c r="CR993" s="21"/>
      <c r="CS993" s="21"/>
      <c r="CT993" s="21"/>
      <c r="CU993" s="21"/>
      <c r="CV993" s="21"/>
      <c r="CW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  <c r="BP994" s="21"/>
      <c r="BQ994" s="21"/>
      <c r="BR994" s="21"/>
      <c r="BS994" s="21"/>
      <c r="BT994" s="21"/>
      <c r="BU994" s="21"/>
      <c r="BV994" s="21"/>
      <c r="BW994" s="21"/>
      <c r="BX994" s="21"/>
      <c r="BY994" s="21"/>
      <c r="BZ994" s="21"/>
      <c r="CA994" s="21"/>
      <c r="CB994" s="21"/>
      <c r="CC994" s="21"/>
      <c r="CD994" s="21"/>
      <c r="CE994" s="21"/>
      <c r="CF994" s="21"/>
      <c r="CG994" s="21"/>
      <c r="CH994" s="21"/>
      <c r="CI994" s="21"/>
      <c r="CJ994" s="21"/>
      <c r="CK994" s="21"/>
      <c r="CL994" s="21"/>
      <c r="CM994" s="21"/>
      <c r="CN994" s="21"/>
      <c r="CO994" s="21"/>
      <c r="CP994" s="21"/>
      <c r="CQ994" s="21"/>
      <c r="CR994" s="21"/>
      <c r="CS994" s="21"/>
      <c r="CT994" s="21"/>
      <c r="CU994" s="21"/>
      <c r="CV994" s="21"/>
      <c r="CW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  <c r="BP995" s="21"/>
      <c r="BQ995" s="21"/>
      <c r="BR995" s="21"/>
      <c r="BS995" s="21"/>
      <c r="BT995" s="21"/>
      <c r="BU995" s="21"/>
      <c r="BV995" s="21"/>
      <c r="BW995" s="21"/>
      <c r="BX995" s="21"/>
      <c r="BY995" s="21"/>
      <c r="BZ995" s="21"/>
      <c r="CA995" s="21"/>
      <c r="CB995" s="21"/>
      <c r="CC995" s="21"/>
      <c r="CD995" s="21"/>
      <c r="CE995" s="21"/>
      <c r="CF995" s="21"/>
      <c r="CG995" s="21"/>
      <c r="CH995" s="21"/>
      <c r="CI995" s="21"/>
      <c r="CJ995" s="21"/>
      <c r="CK995" s="21"/>
      <c r="CL995" s="21"/>
      <c r="CM995" s="21"/>
      <c r="CN995" s="21"/>
      <c r="CO995" s="21"/>
      <c r="CP995" s="21"/>
      <c r="CQ995" s="21"/>
      <c r="CR995" s="21"/>
      <c r="CS995" s="21"/>
      <c r="CT995" s="21"/>
      <c r="CU995" s="21"/>
      <c r="CV995" s="21"/>
      <c r="CW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  <c r="BP996" s="21"/>
      <c r="BQ996" s="21"/>
      <c r="BR996" s="21"/>
      <c r="BS996" s="21"/>
      <c r="BT996" s="21"/>
      <c r="BU996" s="21"/>
      <c r="BV996" s="21"/>
      <c r="BW996" s="21"/>
      <c r="BX996" s="21"/>
      <c r="BY996" s="21"/>
      <c r="BZ996" s="21"/>
      <c r="CA996" s="21"/>
      <c r="CB996" s="21"/>
      <c r="CC996" s="21"/>
      <c r="CD996" s="21"/>
      <c r="CE996" s="21"/>
      <c r="CF996" s="21"/>
      <c r="CG996" s="21"/>
      <c r="CH996" s="21"/>
      <c r="CI996" s="21"/>
      <c r="CJ996" s="21"/>
      <c r="CK996" s="21"/>
      <c r="CL996" s="21"/>
      <c r="CM996" s="21"/>
      <c r="CN996" s="21"/>
      <c r="CO996" s="21"/>
      <c r="CP996" s="21"/>
      <c r="CQ996" s="21"/>
      <c r="CR996" s="21"/>
      <c r="CS996" s="21"/>
      <c r="CT996" s="21"/>
      <c r="CU996" s="21"/>
      <c r="CV996" s="21"/>
      <c r="CW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  <c r="BP997" s="21"/>
      <c r="BQ997" s="21"/>
      <c r="BR997" s="21"/>
      <c r="BS997" s="21"/>
      <c r="BT997" s="21"/>
      <c r="BU997" s="21"/>
      <c r="BV997" s="21"/>
      <c r="BW997" s="21"/>
      <c r="BX997" s="21"/>
      <c r="BY997" s="21"/>
      <c r="BZ997" s="21"/>
      <c r="CA997" s="21"/>
      <c r="CB997" s="21"/>
      <c r="CC997" s="21"/>
      <c r="CD997" s="21"/>
      <c r="CE997" s="21"/>
      <c r="CF997" s="21"/>
      <c r="CG997" s="21"/>
      <c r="CH997" s="21"/>
      <c r="CI997" s="21"/>
      <c r="CJ997" s="21"/>
      <c r="CK997" s="21"/>
      <c r="CL997" s="21"/>
      <c r="CM997" s="21"/>
      <c r="CN997" s="21"/>
      <c r="CO997" s="21"/>
      <c r="CP997" s="21"/>
      <c r="CQ997" s="21"/>
      <c r="CR997" s="21"/>
      <c r="CS997" s="21"/>
      <c r="CT997" s="21"/>
      <c r="CU997" s="21"/>
      <c r="CV997" s="21"/>
      <c r="CW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  <c r="BO998" s="21"/>
      <c r="BP998" s="21"/>
      <c r="BQ998" s="21"/>
      <c r="BR998" s="21"/>
      <c r="BS998" s="21"/>
      <c r="BT998" s="21"/>
      <c r="BU998" s="21"/>
      <c r="BV998" s="21"/>
      <c r="BW998" s="21"/>
      <c r="BX998" s="21"/>
      <c r="BY998" s="21"/>
      <c r="BZ998" s="21"/>
      <c r="CA998" s="21"/>
      <c r="CB998" s="21"/>
      <c r="CC998" s="21"/>
      <c r="CD998" s="21"/>
      <c r="CE998" s="21"/>
      <c r="CF998" s="21"/>
      <c r="CG998" s="21"/>
      <c r="CH998" s="21"/>
      <c r="CI998" s="21"/>
      <c r="CJ998" s="21"/>
      <c r="CK998" s="21"/>
      <c r="CL998" s="21"/>
      <c r="CM998" s="21"/>
      <c r="CN998" s="21"/>
      <c r="CO998" s="21"/>
      <c r="CP998" s="21"/>
      <c r="CQ998" s="21"/>
      <c r="CR998" s="21"/>
      <c r="CS998" s="21"/>
      <c r="CT998" s="21"/>
      <c r="CU998" s="21"/>
      <c r="CV998" s="21"/>
      <c r="CW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  <c r="BO999" s="21"/>
      <c r="BP999" s="21"/>
      <c r="BQ999" s="21"/>
      <c r="BR999" s="21"/>
      <c r="BS999" s="21"/>
      <c r="BT999" s="21"/>
      <c r="BU999" s="21"/>
      <c r="BV999" s="21"/>
      <c r="BW999" s="21"/>
      <c r="BX999" s="21"/>
      <c r="BY999" s="21"/>
      <c r="BZ999" s="21"/>
      <c r="CA999" s="21"/>
      <c r="CB999" s="21"/>
      <c r="CC999" s="21"/>
      <c r="CD999" s="21"/>
      <c r="CE999" s="21"/>
      <c r="CF999" s="21"/>
      <c r="CG999" s="21"/>
      <c r="CH999" s="21"/>
      <c r="CI999" s="21"/>
      <c r="CJ999" s="21"/>
      <c r="CK999" s="21"/>
      <c r="CL999" s="21"/>
      <c r="CM999" s="21"/>
      <c r="CN999" s="21"/>
      <c r="CO999" s="21"/>
      <c r="CP999" s="21"/>
      <c r="CQ999" s="21"/>
      <c r="CR999" s="21"/>
      <c r="CS999" s="21"/>
      <c r="CT999" s="21"/>
      <c r="CU999" s="21"/>
      <c r="CV999" s="21"/>
      <c r="CW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  <c r="BO1000" s="21"/>
      <c r="BP1000" s="21"/>
      <c r="BQ1000" s="21"/>
      <c r="BR1000" s="21"/>
      <c r="BS1000" s="21"/>
      <c r="BT1000" s="21"/>
      <c r="BU1000" s="21"/>
      <c r="BV1000" s="21"/>
      <c r="BW1000" s="21"/>
      <c r="BX1000" s="21"/>
      <c r="BY1000" s="21"/>
      <c r="BZ1000" s="21"/>
      <c r="CA1000" s="21"/>
      <c r="CB1000" s="21"/>
      <c r="CC1000" s="21"/>
      <c r="CD1000" s="21"/>
      <c r="CE1000" s="21"/>
      <c r="CF1000" s="21"/>
      <c r="CG1000" s="21"/>
      <c r="CH1000" s="21"/>
      <c r="CI1000" s="21"/>
      <c r="CJ1000" s="21"/>
      <c r="CK1000" s="21"/>
      <c r="CL1000" s="21"/>
      <c r="CM1000" s="21"/>
      <c r="CN1000" s="21"/>
      <c r="CO1000" s="21"/>
      <c r="CP1000" s="21"/>
      <c r="CQ1000" s="21"/>
      <c r="CR1000" s="21"/>
      <c r="CS1000" s="21"/>
      <c r="CT1000" s="21"/>
      <c r="CU1000" s="21"/>
      <c r="CV1000" s="21"/>
      <c r="CW1000" s="21"/>
    </row>
  </sheetData>
  <mergeCells count="1">
    <mergeCell ref="A1:I1"/>
  </mergeCells>
  <dataValidations>
    <dataValidation type="list" allowBlank="1" showErrorMessage="1" sqref="B3:CW9">
      <formula1>formularios!$A$3:$A$13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16" width="7.43"/>
    <col customWidth="1" min="17" max="17" width="12.0"/>
    <col customWidth="1" min="18" max="20" width="13.71"/>
    <col customWidth="1" min="21" max="22" width="12.86"/>
    <col customWidth="1" min="23" max="26" width="9.14"/>
  </cols>
  <sheetData>
    <row r="1" ht="88.5" customHeight="1">
      <c r="A1" s="66" t="s">
        <v>133</v>
      </c>
      <c r="P1" s="66"/>
      <c r="Q1" s="66"/>
      <c r="R1" s="21"/>
      <c r="S1" s="21"/>
      <c r="T1" s="21"/>
      <c r="U1" s="21"/>
      <c r="V1" s="21"/>
      <c r="W1" s="57"/>
      <c r="X1" s="57"/>
      <c r="Y1" s="57"/>
      <c r="Z1" s="57"/>
    </row>
    <row r="2" ht="28.5" customHeight="1">
      <c r="A2" s="4"/>
      <c r="B2" s="67" t="s">
        <v>126</v>
      </c>
      <c r="C2" s="40"/>
      <c r="D2" s="41"/>
      <c r="E2" s="67" t="s">
        <v>127</v>
      </c>
      <c r="F2" s="40"/>
      <c r="G2" s="41"/>
      <c r="H2" s="67" t="s">
        <v>128</v>
      </c>
      <c r="I2" s="40"/>
      <c r="J2" s="41"/>
      <c r="K2" s="67" t="s">
        <v>129</v>
      </c>
      <c r="L2" s="40"/>
      <c r="M2" s="41"/>
      <c r="N2" s="68" t="s">
        <v>130</v>
      </c>
      <c r="O2" s="69"/>
      <c r="P2" s="70"/>
      <c r="Q2" s="68" t="str">
        <f>IF(SUM('4_qtd_aulas'!B8:CX8)=0,"","Sábado")</f>
        <v/>
      </c>
      <c r="R2" s="69"/>
      <c r="S2" s="70"/>
      <c r="T2" s="68" t="str">
        <f>IF(SUM('4_qtd_aulas'!B9:CX9)=0,"","Domingo")</f>
        <v/>
      </c>
      <c r="U2" s="69"/>
      <c r="V2" s="70"/>
      <c r="W2" s="57"/>
      <c r="X2" s="57"/>
      <c r="Y2" s="57"/>
      <c r="Z2" s="57"/>
    </row>
    <row r="3" ht="23.25" customHeight="1">
      <c r="A3" s="13" t="s">
        <v>134</v>
      </c>
      <c r="B3" s="71" t="s">
        <v>135</v>
      </c>
      <c r="C3" s="71" t="s">
        <v>136</v>
      </c>
      <c r="D3" s="71" t="s">
        <v>137</v>
      </c>
      <c r="E3" s="71" t="s">
        <v>135</v>
      </c>
      <c r="F3" s="71" t="s">
        <v>136</v>
      </c>
      <c r="G3" s="71" t="s">
        <v>137</v>
      </c>
      <c r="H3" s="71" t="s">
        <v>135</v>
      </c>
      <c r="I3" s="71" t="s">
        <v>136</v>
      </c>
      <c r="J3" s="71" t="s">
        <v>137</v>
      </c>
      <c r="K3" s="71" t="s">
        <v>135</v>
      </c>
      <c r="L3" s="71" t="s">
        <v>136</v>
      </c>
      <c r="M3" s="71" t="s">
        <v>137</v>
      </c>
      <c r="N3" s="71" t="s">
        <v>135</v>
      </c>
      <c r="O3" s="71" t="s">
        <v>136</v>
      </c>
      <c r="P3" s="71" t="s">
        <v>137</v>
      </c>
      <c r="Q3" s="71" t="str">
        <f>IF(SUM('4_qtd_aulas'!B8:CX8)=0,"","Turno 1")</f>
        <v/>
      </c>
      <c r="R3" s="71" t="str">
        <f>IF(SUM('4_qtd_aulas'!B8:CX8)=0,"","Turno 2")</f>
        <v/>
      </c>
      <c r="S3" s="71" t="str">
        <f>IF(SUM('4_qtd_aulas'!B8:CX8)=0,"","Turno 3")</f>
        <v/>
      </c>
      <c r="T3" s="71" t="str">
        <f>IF(SUM('4_qtd_aulas'!B9:CX9)=0,"","Turno 1")</f>
        <v/>
      </c>
      <c r="U3" s="71" t="str">
        <f>IF(SUM('4_qtd_aulas'!B9:CX9)=0,"","Turno 2")</f>
        <v/>
      </c>
      <c r="V3" s="71" t="str">
        <f>IF(SUM('4_qtd_aulas'!B9:CX9)=0,"","Turno 3")</f>
        <v/>
      </c>
      <c r="W3" s="14"/>
      <c r="X3" s="14"/>
      <c r="Y3" s="14"/>
      <c r="Z3" s="14"/>
    </row>
    <row r="4">
      <c r="A4" s="20" t="str">
        <f t="array" ref="A4:A103">IF('1_Cadastramento'!A3:A104="","",'1_Cadastramento'!A3:A104)</f>
        <v>ACT- MTM</v>
      </c>
      <c r="B4" s="10">
        <v>1.0</v>
      </c>
      <c r="C4" s="10">
        <v>1.0</v>
      </c>
      <c r="D4" s="72"/>
      <c r="E4" s="10">
        <v>1.0</v>
      </c>
      <c r="F4" s="10">
        <v>1.0</v>
      </c>
      <c r="G4" s="72"/>
      <c r="H4" s="10">
        <v>1.0</v>
      </c>
      <c r="I4" s="10">
        <v>1.0</v>
      </c>
      <c r="J4" s="73"/>
      <c r="K4" s="10">
        <v>1.0</v>
      </c>
      <c r="L4" s="10">
        <v>1.0</v>
      </c>
      <c r="M4" s="72"/>
      <c r="N4" s="10">
        <v>1.0</v>
      </c>
      <c r="O4" s="10">
        <v>1.0</v>
      </c>
      <c r="P4" s="74"/>
      <c r="Q4" s="75"/>
      <c r="R4" s="72"/>
      <c r="S4" s="74"/>
      <c r="T4" s="75"/>
      <c r="U4" s="72"/>
      <c r="V4" s="74"/>
      <c r="W4" s="57"/>
      <c r="X4" s="57"/>
      <c r="Y4" s="57"/>
      <c r="Z4" s="57"/>
    </row>
    <row r="5">
      <c r="A5" s="20" t="s">
        <v>12</v>
      </c>
      <c r="B5" s="10">
        <v>1.0</v>
      </c>
      <c r="C5" s="10">
        <v>1.0</v>
      </c>
      <c r="D5" s="57"/>
      <c r="E5" s="10">
        <v>1.0</v>
      </c>
      <c r="F5" s="10">
        <v>1.0</v>
      </c>
      <c r="G5" s="57"/>
      <c r="H5" s="10">
        <v>1.0</v>
      </c>
      <c r="I5" s="10">
        <v>1.0</v>
      </c>
      <c r="J5" s="76"/>
      <c r="K5" s="10">
        <v>1.0</v>
      </c>
      <c r="L5" s="10">
        <v>1.0</v>
      </c>
      <c r="M5" s="57"/>
      <c r="N5" s="10">
        <v>1.0</v>
      </c>
      <c r="O5" s="10">
        <v>1.0</v>
      </c>
      <c r="P5" s="77"/>
      <c r="Q5" s="78"/>
      <c r="R5" s="57"/>
      <c r="S5" s="77"/>
      <c r="T5" s="78"/>
      <c r="U5" s="57"/>
      <c r="V5" s="77"/>
      <c r="W5" s="57"/>
      <c r="X5" s="57"/>
      <c r="Y5" s="57"/>
      <c r="Z5" s="57"/>
    </row>
    <row r="6">
      <c r="A6" s="20" t="s">
        <v>16</v>
      </c>
      <c r="B6" s="10">
        <v>1.0</v>
      </c>
      <c r="C6" s="10">
        <v>1.0</v>
      </c>
      <c r="D6" s="57"/>
      <c r="E6" s="10">
        <v>1.0</v>
      </c>
      <c r="F6" s="10">
        <v>1.0</v>
      </c>
      <c r="G6" s="57"/>
      <c r="H6" s="10">
        <v>1.0</v>
      </c>
      <c r="I6" s="10">
        <v>1.0</v>
      </c>
      <c r="J6" s="76"/>
      <c r="K6" s="10">
        <v>1.0</v>
      </c>
      <c r="L6" s="10">
        <v>1.0</v>
      </c>
      <c r="M6" s="57"/>
      <c r="N6" s="10">
        <v>1.0</v>
      </c>
      <c r="O6" s="10">
        <v>1.0</v>
      </c>
      <c r="P6" s="77"/>
      <c r="Q6" s="78"/>
      <c r="R6" s="57"/>
      <c r="S6" s="77"/>
      <c r="T6" s="78"/>
      <c r="U6" s="57"/>
      <c r="V6" s="77"/>
      <c r="W6" s="57"/>
      <c r="X6" s="57"/>
      <c r="Y6" s="57"/>
      <c r="Z6" s="57"/>
    </row>
    <row r="7">
      <c r="A7" s="20" t="s">
        <v>20</v>
      </c>
      <c r="B7" s="10">
        <v>1.0</v>
      </c>
      <c r="C7" s="10">
        <v>1.0</v>
      </c>
      <c r="D7" s="57"/>
      <c r="E7" s="10">
        <v>1.0</v>
      </c>
      <c r="F7" s="10">
        <v>1.0</v>
      </c>
      <c r="G7" s="57"/>
      <c r="H7" s="10">
        <v>1.0</v>
      </c>
      <c r="I7" s="10">
        <v>1.0</v>
      </c>
      <c r="J7" s="76"/>
      <c r="K7" s="10">
        <v>1.0</v>
      </c>
      <c r="L7" s="10">
        <v>1.0</v>
      </c>
      <c r="M7" s="57"/>
      <c r="N7" s="10">
        <v>1.0</v>
      </c>
      <c r="O7" s="10">
        <v>1.0</v>
      </c>
      <c r="P7" s="77"/>
      <c r="Q7" s="78"/>
      <c r="R7" s="57"/>
      <c r="S7" s="77"/>
      <c r="T7" s="78"/>
      <c r="U7" s="57"/>
      <c r="V7" s="77"/>
      <c r="W7" s="57"/>
      <c r="X7" s="57"/>
      <c r="Y7" s="57"/>
      <c r="Z7" s="57"/>
    </row>
    <row r="8">
      <c r="A8" s="20" t="s">
        <v>22</v>
      </c>
      <c r="B8" s="10">
        <v>1.0</v>
      </c>
      <c r="C8" s="10">
        <v>1.0</v>
      </c>
      <c r="D8" s="57"/>
      <c r="E8" s="10">
        <v>1.0</v>
      </c>
      <c r="F8" s="10">
        <v>1.0</v>
      </c>
      <c r="G8" s="57"/>
      <c r="H8" s="10">
        <v>1.0</v>
      </c>
      <c r="I8" s="10">
        <v>1.0</v>
      </c>
      <c r="J8" s="76"/>
      <c r="K8" s="10">
        <v>1.0</v>
      </c>
      <c r="L8" s="10">
        <v>1.0</v>
      </c>
      <c r="M8" s="57"/>
      <c r="N8" s="10">
        <v>1.0</v>
      </c>
      <c r="O8" s="10">
        <v>1.0</v>
      </c>
      <c r="P8" s="77"/>
      <c r="Q8" s="78"/>
      <c r="R8" s="57"/>
      <c r="S8" s="77"/>
      <c r="T8" s="78"/>
      <c r="U8" s="57"/>
      <c r="V8" s="77"/>
      <c r="W8" s="57"/>
      <c r="X8" s="57"/>
      <c r="Y8" s="57"/>
      <c r="Z8" s="57"/>
    </row>
    <row r="9">
      <c r="A9" s="20" t="s">
        <v>24</v>
      </c>
      <c r="B9" s="10">
        <v>1.0</v>
      </c>
      <c r="C9" s="10">
        <v>1.0</v>
      </c>
      <c r="D9" s="57"/>
      <c r="E9" s="10">
        <v>1.0</v>
      </c>
      <c r="F9" s="10">
        <v>1.0</v>
      </c>
      <c r="G9" s="57"/>
      <c r="H9" s="10">
        <v>1.0</v>
      </c>
      <c r="I9" s="10">
        <v>1.0</v>
      </c>
      <c r="J9" s="76"/>
      <c r="K9" s="10">
        <v>1.0</v>
      </c>
      <c r="L9" s="10">
        <v>1.0</v>
      </c>
      <c r="M9" s="57"/>
      <c r="N9" s="10">
        <v>1.0</v>
      </c>
      <c r="O9" s="10">
        <v>1.0</v>
      </c>
      <c r="P9" s="77"/>
      <c r="Q9" s="78"/>
      <c r="R9" s="57"/>
      <c r="S9" s="77"/>
      <c r="T9" s="78"/>
      <c r="U9" s="57"/>
      <c r="V9" s="77"/>
      <c r="W9" s="57"/>
      <c r="X9" s="57"/>
      <c r="Y9" s="57"/>
      <c r="Z9" s="57"/>
    </row>
    <row r="10">
      <c r="A10" s="20" t="s">
        <v>27</v>
      </c>
      <c r="B10" s="10">
        <v>1.0</v>
      </c>
      <c r="C10" s="10">
        <v>1.0</v>
      </c>
      <c r="D10" s="57"/>
      <c r="E10" s="10">
        <v>1.0</v>
      </c>
      <c r="F10" s="10">
        <v>1.0</v>
      </c>
      <c r="G10" s="57"/>
      <c r="H10" s="10">
        <v>1.0</v>
      </c>
      <c r="I10" s="10">
        <v>1.0</v>
      </c>
      <c r="J10" s="76"/>
      <c r="K10" s="10">
        <v>1.0</v>
      </c>
      <c r="L10" s="10">
        <v>1.0</v>
      </c>
      <c r="M10" s="57"/>
      <c r="N10" s="10">
        <v>1.0</v>
      </c>
      <c r="O10" s="10">
        <v>1.0</v>
      </c>
      <c r="P10" s="77"/>
      <c r="Q10" s="78"/>
      <c r="R10" s="57"/>
      <c r="S10" s="77"/>
      <c r="T10" s="78"/>
      <c r="U10" s="57"/>
      <c r="V10" s="77"/>
      <c r="W10" s="57"/>
      <c r="X10" s="57"/>
      <c r="Y10" s="57"/>
      <c r="Z10" s="57"/>
    </row>
    <row r="11">
      <c r="A11" s="20" t="s">
        <v>29</v>
      </c>
      <c r="B11" s="10">
        <v>1.0</v>
      </c>
      <c r="C11" s="10">
        <v>1.0</v>
      </c>
      <c r="D11" s="57"/>
      <c r="E11" s="10">
        <v>1.0</v>
      </c>
      <c r="F11" s="10">
        <v>1.0</v>
      </c>
      <c r="G11" s="57"/>
      <c r="H11" s="10">
        <v>1.0</v>
      </c>
      <c r="I11" s="10">
        <v>1.0</v>
      </c>
      <c r="J11" s="76"/>
      <c r="K11" s="10">
        <v>1.0</v>
      </c>
      <c r="L11" s="10">
        <v>1.0</v>
      </c>
      <c r="M11" s="57"/>
      <c r="N11" s="10">
        <v>1.0</v>
      </c>
      <c r="O11" s="10">
        <v>1.0</v>
      </c>
      <c r="P11" s="77"/>
      <c r="Q11" s="78"/>
      <c r="R11" s="57"/>
      <c r="S11" s="77"/>
      <c r="T11" s="78"/>
      <c r="U11" s="57"/>
      <c r="V11" s="77"/>
      <c r="W11" s="57"/>
      <c r="X11" s="57"/>
      <c r="Y11" s="57"/>
      <c r="Z11" s="57"/>
    </row>
    <row r="12">
      <c r="A12" s="20" t="s">
        <v>31</v>
      </c>
      <c r="B12" s="10">
        <v>1.0</v>
      </c>
      <c r="C12" s="10">
        <v>1.0</v>
      </c>
      <c r="D12" s="57"/>
      <c r="E12" s="10">
        <v>1.0</v>
      </c>
      <c r="F12" s="10">
        <v>1.0</v>
      </c>
      <c r="G12" s="57"/>
      <c r="H12" s="10">
        <v>1.0</v>
      </c>
      <c r="I12" s="10">
        <v>1.0</v>
      </c>
      <c r="J12" s="76"/>
      <c r="K12" s="10">
        <v>1.0</v>
      </c>
      <c r="L12" s="10">
        <v>1.0</v>
      </c>
      <c r="M12" s="57"/>
      <c r="N12" s="10">
        <v>1.0</v>
      </c>
      <c r="O12" s="10">
        <v>1.0</v>
      </c>
      <c r="P12" s="77"/>
      <c r="Q12" s="78"/>
      <c r="R12" s="57"/>
      <c r="S12" s="77"/>
      <c r="T12" s="78"/>
      <c r="U12" s="57"/>
      <c r="V12" s="77"/>
      <c r="W12" s="57"/>
      <c r="X12" s="57"/>
      <c r="Y12" s="57"/>
      <c r="Z12" s="57"/>
    </row>
    <row r="13">
      <c r="A13" s="20" t="s">
        <v>33</v>
      </c>
      <c r="B13" s="10">
        <v>1.0</v>
      </c>
      <c r="C13" s="10">
        <v>1.0</v>
      </c>
      <c r="D13" s="57"/>
      <c r="E13" s="10">
        <v>1.0</v>
      </c>
      <c r="F13" s="10">
        <v>1.0</v>
      </c>
      <c r="G13" s="57"/>
      <c r="H13" s="10">
        <v>1.0</v>
      </c>
      <c r="I13" s="10">
        <v>1.0</v>
      </c>
      <c r="J13" s="76"/>
      <c r="K13" s="10">
        <v>1.0</v>
      </c>
      <c r="L13" s="10">
        <v>1.0</v>
      </c>
      <c r="M13" s="57"/>
      <c r="N13" s="10">
        <v>1.0</v>
      </c>
      <c r="O13" s="10">
        <v>1.0</v>
      </c>
      <c r="P13" s="77"/>
      <c r="Q13" s="78"/>
      <c r="R13" s="57"/>
      <c r="S13" s="77"/>
      <c r="T13" s="78"/>
      <c r="U13" s="57"/>
      <c r="V13" s="77"/>
      <c r="W13" s="57"/>
      <c r="X13" s="57"/>
      <c r="Y13" s="57"/>
      <c r="Z13" s="57"/>
    </row>
    <row r="14">
      <c r="A14" s="20" t="s">
        <v>35</v>
      </c>
      <c r="B14" s="10">
        <v>1.0</v>
      </c>
      <c r="C14" s="10">
        <v>1.0</v>
      </c>
      <c r="D14" s="57"/>
      <c r="E14" s="10">
        <v>1.0</v>
      </c>
      <c r="F14" s="10">
        <v>1.0</v>
      </c>
      <c r="G14" s="57"/>
      <c r="H14" s="10">
        <v>1.0</v>
      </c>
      <c r="I14" s="10">
        <v>1.0</v>
      </c>
      <c r="J14" s="76"/>
      <c r="K14" s="10">
        <v>1.0</v>
      </c>
      <c r="L14" s="10">
        <v>1.0</v>
      </c>
      <c r="M14" s="57"/>
      <c r="N14" s="10">
        <v>1.0</v>
      </c>
      <c r="O14" s="10">
        <v>1.0</v>
      </c>
      <c r="P14" s="77"/>
      <c r="Q14" s="78"/>
      <c r="R14" s="57"/>
      <c r="S14" s="77"/>
      <c r="T14" s="78"/>
      <c r="U14" s="57"/>
      <c r="V14" s="77"/>
      <c r="W14" s="57"/>
      <c r="X14" s="57"/>
      <c r="Y14" s="57"/>
      <c r="Z14" s="57"/>
    </row>
    <row r="15">
      <c r="A15" s="20" t="s">
        <v>37</v>
      </c>
      <c r="B15" s="10">
        <v>1.0</v>
      </c>
      <c r="C15" s="10">
        <v>1.0</v>
      </c>
      <c r="D15" s="57"/>
      <c r="E15" s="10">
        <v>1.0</v>
      </c>
      <c r="F15" s="10">
        <v>1.0</v>
      </c>
      <c r="G15" s="57"/>
      <c r="H15" s="10">
        <v>1.0</v>
      </c>
      <c r="I15" s="10">
        <v>1.0</v>
      </c>
      <c r="J15" s="76"/>
      <c r="K15" s="10">
        <v>1.0</v>
      </c>
      <c r="L15" s="10">
        <v>1.0</v>
      </c>
      <c r="M15" s="57"/>
      <c r="N15" s="10">
        <v>1.0</v>
      </c>
      <c r="O15" s="10">
        <v>1.0</v>
      </c>
      <c r="P15" s="77"/>
      <c r="Q15" s="78"/>
      <c r="R15" s="57"/>
      <c r="S15" s="77"/>
      <c r="T15" s="78"/>
      <c r="U15" s="57"/>
      <c r="V15" s="77"/>
      <c r="W15" s="57"/>
      <c r="X15" s="57"/>
      <c r="Y15" s="57"/>
      <c r="Z15" s="57"/>
    </row>
    <row r="16">
      <c r="A16" s="20" t="s">
        <v>39</v>
      </c>
      <c r="B16" s="10">
        <v>1.0</v>
      </c>
      <c r="C16" s="10">
        <v>1.0</v>
      </c>
      <c r="D16" s="57"/>
      <c r="E16" s="10">
        <v>1.0</v>
      </c>
      <c r="F16" s="10">
        <v>1.0</v>
      </c>
      <c r="G16" s="57"/>
      <c r="H16" s="10">
        <v>1.0</v>
      </c>
      <c r="I16" s="10">
        <v>1.0</v>
      </c>
      <c r="J16" s="76"/>
      <c r="K16" s="10">
        <v>1.0</v>
      </c>
      <c r="L16" s="10">
        <v>1.0</v>
      </c>
      <c r="M16" s="57"/>
      <c r="N16" s="10">
        <v>1.0</v>
      </c>
      <c r="O16" s="10">
        <v>1.0</v>
      </c>
      <c r="P16" s="77"/>
      <c r="Q16" s="78"/>
      <c r="R16" s="57"/>
      <c r="S16" s="77"/>
      <c r="T16" s="78"/>
      <c r="U16" s="57"/>
      <c r="V16" s="77"/>
      <c r="W16" s="57"/>
      <c r="X16" s="57"/>
      <c r="Y16" s="57"/>
      <c r="Z16" s="57"/>
    </row>
    <row r="17">
      <c r="A17" s="20" t="s">
        <v>41</v>
      </c>
      <c r="B17" s="10">
        <v>1.0</v>
      </c>
      <c r="C17" s="10">
        <v>1.0</v>
      </c>
      <c r="D17" s="57"/>
      <c r="E17" s="10">
        <v>1.0</v>
      </c>
      <c r="F17" s="10">
        <v>1.0</v>
      </c>
      <c r="G17" s="57"/>
      <c r="H17" s="10">
        <v>1.0</v>
      </c>
      <c r="I17" s="10">
        <v>1.0</v>
      </c>
      <c r="J17" s="76"/>
      <c r="K17" s="10">
        <v>1.0</v>
      </c>
      <c r="L17" s="10">
        <v>1.0</v>
      </c>
      <c r="M17" s="57"/>
      <c r="N17" s="10">
        <v>1.0</v>
      </c>
      <c r="O17" s="10">
        <v>1.0</v>
      </c>
      <c r="P17" s="77"/>
      <c r="Q17" s="78"/>
      <c r="R17" s="57"/>
      <c r="S17" s="77"/>
      <c r="T17" s="78"/>
      <c r="U17" s="57"/>
      <c r="V17" s="77"/>
      <c r="W17" s="57"/>
      <c r="X17" s="57"/>
      <c r="Y17" s="57"/>
      <c r="Z17" s="57"/>
    </row>
    <row r="18">
      <c r="A18" s="20" t="s">
        <v>43</v>
      </c>
      <c r="B18" s="10">
        <v>1.0</v>
      </c>
      <c r="C18" s="10">
        <v>1.0</v>
      </c>
      <c r="D18" s="57"/>
      <c r="E18" s="10">
        <v>1.0</v>
      </c>
      <c r="F18" s="10">
        <v>1.0</v>
      </c>
      <c r="G18" s="57"/>
      <c r="H18" s="10">
        <v>1.0</v>
      </c>
      <c r="I18" s="10">
        <v>1.0</v>
      </c>
      <c r="J18" s="76"/>
      <c r="K18" s="10">
        <v>1.0</v>
      </c>
      <c r="L18" s="10">
        <v>1.0</v>
      </c>
      <c r="M18" s="57"/>
      <c r="N18" s="10">
        <v>1.0</v>
      </c>
      <c r="O18" s="10">
        <v>1.0</v>
      </c>
      <c r="P18" s="77"/>
      <c r="Q18" s="78"/>
      <c r="R18" s="57"/>
      <c r="S18" s="77"/>
      <c r="T18" s="78"/>
      <c r="U18" s="57"/>
      <c r="V18" s="77"/>
      <c r="W18" s="57"/>
      <c r="X18" s="57"/>
      <c r="Y18" s="57"/>
      <c r="Z18" s="57"/>
    </row>
    <row r="19">
      <c r="A19" s="20" t="s">
        <v>45</v>
      </c>
      <c r="B19" s="10">
        <v>1.0</v>
      </c>
      <c r="C19" s="10">
        <v>1.0</v>
      </c>
      <c r="D19" s="57"/>
      <c r="E19" s="10">
        <v>1.0</v>
      </c>
      <c r="F19" s="10">
        <v>1.0</v>
      </c>
      <c r="G19" s="57"/>
      <c r="H19" s="10">
        <v>1.0</v>
      </c>
      <c r="I19" s="10">
        <v>1.0</v>
      </c>
      <c r="J19" s="76"/>
      <c r="K19" s="10">
        <v>1.0</v>
      </c>
      <c r="L19" s="10">
        <v>1.0</v>
      </c>
      <c r="M19" s="57"/>
      <c r="N19" s="10">
        <v>1.0</v>
      </c>
      <c r="O19" s="10">
        <v>1.0</v>
      </c>
      <c r="P19" s="77"/>
      <c r="Q19" s="78"/>
      <c r="R19" s="57"/>
      <c r="S19" s="77"/>
      <c r="T19" s="78"/>
      <c r="U19" s="57"/>
      <c r="V19" s="77"/>
      <c r="W19" s="57"/>
      <c r="X19" s="57"/>
      <c r="Y19" s="57"/>
      <c r="Z19" s="57"/>
    </row>
    <row r="20">
      <c r="A20" s="20" t="s">
        <v>47</v>
      </c>
      <c r="B20" s="10">
        <v>1.0</v>
      </c>
      <c r="C20" s="10">
        <v>1.0</v>
      </c>
      <c r="D20" s="57"/>
      <c r="E20" s="10">
        <v>1.0</v>
      </c>
      <c r="F20" s="10">
        <v>1.0</v>
      </c>
      <c r="G20" s="57"/>
      <c r="H20" s="10">
        <v>1.0</v>
      </c>
      <c r="I20" s="10">
        <v>1.0</v>
      </c>
      <c r="J20" s="76"/>
      <c r="K20" s="10">
        <v>1.0</v>
      </c>
      <c r="L20" s="10">
        <v>1.0</v>
      </c>
      <c r="M20" s="57"/>
      <c r="N20" s="10">
        <v>1.0</v>
      </c>
      <c r="O20" s="10">
        <v>1.0</v>
      </c>
      <c r="P20" s="77"/>
      <c r="Q20" s="78"/>
      <c r="R20" s="57"/>
      <c r="S20" s="77"/>
      <c r="T20" s="78"/>
      <c r="U20" s="57"/>
      <c r="V20" s="77"/>
      <c r="W20" s="57"/>
      <c r="X20" s="57"/>
      <c r="Y20" s="57"/>
      <c r="Z20" s="57"/>
    </row>
    <row r="21" ht="15.75" customHeight="1">
      <c r="A21" s="20" t="s">
        <v>49</v>
      </c>
      <c r="B21" s="10">
        <v>1.0</v>
      </c>
      <c r="C21" s="10">
        <v>1.0</v>
      </c>
      <c r="D21" s="57"/>
      <c r="E21" s="10">
        <v>1.0</v>
      </c>
      <c r="F21" s="10">
        <v>1.0</v>
      </c>
      <c r="G21" s="57"/>
      <c r="H21" s="10">
        <v>1.0</v>
      </c>
      <c r="I21" s="10">
        <v>1.0</v>
      </c>
      <c r="J21" s="76"/>
      <c r="K21" s="10">
        <v>1.0</v>
      </c>
      <c r="L21" s="10">
        <v>1.0</v>
      </c>
      <c r="M21" s="57"/>
      <c r="N21" s="10">
        <v>1.0</v>
      </c>
      <c r="O21" s="10">
        <v>1.0</v>
      </c>
      <c r="P21" s="77"/>
      <c r="Q21" s="78"/>
      <c r="R21" s="57"/>
      <c r="S21" s="77"/>
      <c r="T21" s="78"/>
      <c r="U21" s="57"/>
      <c r="V21" s="77"/>
      <c r="W21" s="57"/>
      <c r="X21" s="57"/>
      <c r="Y21" s="57"/>
      <c r="Z21" s="57"/>
    </row>
    <row r="22" ht="15.75" customHeight="1">
      <c r="A22" s="20" t="s">
        <v>50</v>
      </c>
      <c r="B22" s="10">
        <v>1.0</v>
      </c>
      <c r="C22" s="10">
        <v>1.0</v>
      </c>
      <c r="D22" s="79"/>
      <c r="E22" s="10">
        <v>1.0</v>
      </c>
      <c r="F22" s="10">
        <v>1.0</v>
      </c>
      <c r="G22" s="79"/>
      <c r="H22" s="10">
        <v>1.0</v>
      </c>
      <c r="I22" s="10">
        <v>1.0</v>
      </c>
      <c r="J22" s="80"/>
      <c r="K22" s="10">
        <v>1.0</v>
      </c>
      <c r="L22" s="10">
        <v>1.0</v>
      </c>
      <c r="M22" s="79"/>
      <c r="N22" s="10">
        <v>1.0</v>
      </c>
      <c r="O22" s="10">
        <v>1.0</v>
      </c>
      <c r="P22" s="81"/>
      <c r="Q22" s="82"/>
      <c r="R22" s="79"/>
      <c r="S22" s="81"/>
      <c r="T22" s="82"/>
      <c r="U22" s="79"/>
      <c r="V22" s="81"/>
      <c r="W22" s="57"/>
      <c r="X22" s="57"/>
      <c r="Y22" s="57"/>
      <c r="Z22" s="57"/>
    </row>
    <row r="23" ht="15.75" customHeight="1">
      <c r="A23" s="20" t="s">
        <v>51</v>
      </c>
      <c r="B23" s="10">
        <v>1.0</v>
      </c>
      <c r="C23" s="10">
        <v>1.0</v>
      </c>
      <c r="D23" s="79"/>
      <c r="E23" s="10">
        <v>1.0</v>
      </c>
      <c r="F23" s="10">
        <v>1.0</v>
      </c>
      <c r="G23" s="79"/>
      <c r="H23" s="10">
        <v>1.0</v>
      </c>
      <c r="I23" s="10">
        <v>1.0</v>
      </c>
      <c r="J23" s="80"/>
      <c r="K23" s="10">
        <v>1.0</v>
      </c>
      <c r="L23" s="10">
        <v>1.0</v>
      </c>
      <c r="M23" s="79"/>
      <c r="N23" s="10">
        <v>1.0</v>
      </c>
      <c r="O23" s="10">
        <v>1.0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5.75" customHeight="1">
      <c r="A24" s="20" t="s">
        <v>52</v>
      </c>
      <c r="B24" s="10">
        <v>1.0</v>
      </c>
      <c r="C24" s="10">
        <v>1.0</v>
      </c>
      <c r="D24" s="79"/>
      <c r="E24" s="10">
        <v>1.0</v>
      </c>
      <c r="F24" s="10">
        <v>1.0</v>
      </c>
      <c r="G24" s="79"/>
      <c r="H24" s="10">
        <v>1.0</v>
      </c>
      <c r="I24" s="10">
        <v>1.0</v>
      </c>
      <c r="J24" s="80"/>
      <c r="K24" s="10">
        <v>1.0</v>
      </c>
      <c r="L24" s="10">
        <v>1.0</v>
      </c>
      <c r="M24" s="79"/>
      <c r="N24" s="10">
        <v>1.0</v>
      </c>
      <c r="O24" s="10">
        <v>1.0</v>
      </c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5.75" customHeight="1">
      <c r="A25" s="20" t="s">
        <v>53</v>
      </c>
      <c r="B25" s="10">
        <v>1.0</v>
      </c>
      <c r="C25" s="10">
        <v>1.0</v>
      </c>
      <c r="D25" s="79"/>
      <c r="E25" s="10">
        <v>1.0</v>
      </c>
      <c r="F25" s="10">
        <v>1.0</v>
      </c>
      <c r="G25" s="79"/>
      <c r="H25" s="10">
        <v>1.0</v>
      </c>
      <c r="I25" s="10">
        <v>1.0</v>
      </c>
      <c r="J25" s="80"/>
      <c r="K25" s="10">
        <v>1.0</v>
      </c>
      <c r="L25" s="10">
        <v>1.0</v>
      </c>
      <c r="M25" s="79"/>
      <c r="N25" s="10">
        <v>1.0</v>
      </c>
      <c r="O25" s="10">
        <v>1.0</v>
      </c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5.75" customHeight="1">
      <c r="A26" s="20" t="s">
        <v>54</v>
      </c>
      <c r="B26" s="10">
        <v>1.0</v>
      </c>
      <c r="C26" s="10">
        <v>1.0</v>
      </c>
      <c r="D26" s="79"/>
      <c r="E26" s="10">
        <v>1.0</v>
      </c>
      <c r="F26" s="10">
        <v>1.0</v>
      </c>
      <c r="G26" s="79"/>
      <c r="H26" s="10">
        <v>1.0</v>
      </c>
      <c r="I26" s="10">
        <v>1.0</v>
      </c>
      <c r="J26" s="80"/>
      <c r="K26" s="10">
        <v>1.0</v>
      </c>
      <c r="L26" s="10">
        <v>1.0</v>
      </c>
      <c r="M26" s="81"/>
      <c r="N26" s="82">
        <v>1.0</v>
      </c>
      <c r="O26" s="79">
        <v>1.0</v>
      </c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5.75" customHeight="1">
      <c r="A27" s="20" t="s">
        <v>55</v>
      </c>
      <c r="B27" s="10">
        <v>1.0</v>
      </c>
      <c r="C27" s="10">
        <v>1.0</v>
      </c>
      <c r="D27" s="79"/>
      <c r="E27" s="10">
        <v>1.0</v>
      </c>
      <c r="F27" s="10">
        <v>1.0</v>
      </c>
      <c r="G27" s="79"/>
      <c r="H27" s="10">
        <v>1.0</v>
      </c>
      <c r="I27" s="10">
        <v>1.0</v>
      </c>
      <c r="J27" s="80"/>
      <c r="K27" s="10">
        <v>1.0</v>
      </c>
      <c r="L27" s="10">
        <v>1.0</v>
      </c>
      <c r="M27" s="81"/>
      <c r="N27" s="82">
        <v>1.0</v>
      </c>
      <c r="O27" s="79">
        <v>1.0</v>
      </c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15.75" customHeight="1">
      <c r="A28" s="20" t="s">
        <v>56</v>
      </c>
      <c r="B28" s="10">
        <v>1.0</v>
      </c>
      <c r="C28" s="10">
        <v>1.0</v>
      </c>
      <c r="D28" s="79"/>
      <c r="E28" s="10">
        <v>1.0</v>
      </c>
      <c r="F28" s="10">
        <v>1.0</v>
      </c>
      <c r="G28" s="79"/>
      <c r="H28" s="10">
        <v>1.0</v>
      </c>
      <c r="I28" s="10">
        <v>1.0</v>
      </c>
      <c r="J28" s="80"/>
      <c r="K28" s="10">
        <v>1.0</v>
      </c>
      <c r="L28" s="10">
        <v>1.0</v>
      </c>
      <c r="M28" s="81"/>
      <c r="N28" s="82">
        <v>1.0</v>
      </c>
      <c r="O28" s="79">
        <v>1.0</v>
      </c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15.75" customHeight="1">
      <c r="A29" s="20" t="s">
        <v>57</v>
      </c>
      <c r="B29" s="10">
        <v>1.0</v>
      </c>
      <c r="C29" s="10">
        <v>1.0</v>
      </c>
      <c r="D29" s="79"/>
      <c r="E29" s="10">
        <v>1.0</v>
      </c>
      <c r="F29" s="10">
        <v>1.0</v>
      </c>
      <c r="G29" s="79"/>
      <c r="H29" s="10">
        <v>1.0</v>
      </c>
      <c r="I29" s="10">
        <v>1.0</v>
      </c>
      <c r="J29" s="80"/>
      <c r="K29" s="10">
        <v>1.0</v>
      </c>
      <c r="L29" s="10">
        <v>1.0</v>
      </c>
      <c r="M29" s="81"/>
      <c r="N29" s="82">
        <v>1.0</v>
      </c>
      <c r="O29" s="79">
        <v>1.0</v>
      </c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15.75" customHeight="1">
      <c r="A30" s="20" t="s">
        <v>58</v>
      </c>
      <c r="B30" s="10">
        <v>1.0</v>
      </c>
      <c r="C30" s="10">
        <v>1.0</v>
      </c>
      <c r="D30" s="79"/>
      <c r="E30" s="10">
        <v>1.0</v>
      </c>
      <c r="F30" s="10">
        <v>1.0</v>
      </c>
      <c r="G30" s="79"/>
      <c r="H30" s="10">
        <v>1.0</v>
      </c>
      <c r="I30" s="10">
        <v>1.0</v>
      </c>
      <c r="J30" s="80"/>
      <c r="K30" s="10">
        <v>1.0</v>
      </c>
      <c r="L30" s="10">
        <v>1.0</v>
      </c>
      <c r="M30" s="81"/>
      <c r="N30" s="82">
        <v>1.0</v>
      </c>
      <c r="O30" s="79">
        <v>1.0</v>
      </c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15.75" customHeight="1">
      <c r="A31" s="20" t="s">
        <v>59</v>
      </c>
      <c r="B31" s="10">
        <v>1.0</v>
      </c>
      <c r="C31" s="10">
        <v>1.0</v>
      </c>
      <c r="D31" s="79"/>
      <c r="E31" s="10">
        <v>1.0</v>
      </c>
      <c r="F31" s="10">
        <v>1.0</v>
      </c>
      <c r="G31" s="79"/>
      <c r="H31" s="10">
        <v>1.0</v>
      </c>
      <c r="I31" s="10">
        <v>1.0</v>
      </c>
      <c r="J31" s="80"/>
      <c r="K31" s="10">
        <v>1.0</v>
      </c>
      <c r="L31" s="10">
        <v>1.0</v>
      </c>
      <c r="M31" s="81"/>
      <c r="N31" s="82">
        <v>1.0</v>
      </c>
      <c r="O31" s="79">
        <v>1.0</v>
      </c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5.75" customHeight="1">
      <c r="A32" s="20" t="s">
        <v>60</v>
      </c>
      <c r="B32" s="10">
        <v>1.0</v>
      </c>
      <c r="C32" s="10">
        <v>1.0</v>
      </c>
      <c r="D32" s="79"/>
      <c r="E32" s="10">
        <v>1.0</v>
      </c>
      <c r="F32" s="10">
        <v>1.0</v>
      </c>
      <c r="G32" s="79"/>
      <c r="H32" s="10">
        <v>1.0</v>
      </c>
      <c r="I32" s="10">
        <v>1.0</v>
      </c>
      <c r="J32" s="80"/>
      <c r="K32" s="10">
        <v>1.0</v>
      </c>
      <c r="L32" s="10">
        <v>1.0</v>
      </c>
      <c r="M32" s="81"/>
      <c r="N32" s="82">
        <v>1.0</v>
      </c>
      <c r="O32" s="79">
        <v>1.0</v>
      </c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15.75" customHeight="1">
      <c r="A33" s="20" t="s">
        <v>61</v>
      </c>
      <c r="B33" s="10">
        <v>1.0</v>
      </c>
      <c r="C33" s="10">
        <v>1.0</v>
      </c>
      <c r="D33" s="79"/>
      <c r="E33" s="10">
        <v>1.0</v>
      </c>
      <c r="F33" s="10">
        <v>1.0</v>
      </c>
      <c r="G33" s="79"/>
      <c r="H33" s="10">
        <v>1.0</v>
      </c>
      <c r="I33" s="10">
        <v>1.0</v>
      </c>
      <c r="J33" s="80"/>
      <c r="K33" s="10">
        <v>1.0</v>
      </c>
      <c r="L33" s="10">
        <v>1.0</v>
      </c>
      <c r="M33" s="81"/>
      <c r="N33" s="82">
        <v>1.0</v>
      </c>
      <c r="O33" s="79">
        <v>1.0</v>
      </c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5.75" customHeight="1">
      <c r="A34" s="20" t="s">
        <v>62</v>
      </c>
      <c r="B34" s="10">
        <v>1.0</v>
      </c>
      <c r="C34" s="10">
        <v>1.0</v>
      </c>
      <c r="D34" s="79"/>
      <c r="E34" s="10">
        <v>1.0</v>
      </c>
      <c r="F34" s="10">
        <v>1.0</v>
      </c>
      <c r="G34" s="79"/>
      <c r="H34" s="10">
        <v>1.0</v>
      </c>
      <c r="I34" s="10">
        <v>1.0</v>
      </c>
      <c r="J34" s="80"/>
      <c r="K34" s="10">
        <v>1.0</v>
      </c>
      <c r="L34" s="10">
        <v>1.0</v>
      </c>
      <c r="M34" s="81"/>
      <c r="N34" s="82">
        <v>1.0</v>
      </c>
      <c r="O34" s="79">
        <v>1.0</v>
      </c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>
      <c r="A35" s="20" t="s">
        <v>63</v>
      </c>
      <c r="B35" s="10">
        <v>1.0</v>
      </c>
      <c r="C35" s="10">
        <v>1.0</v>
      </c>
      <c r="D35" s="79"/>
      <c r="E35" s="10">
        <v>1.0</v>
      </c>
      <c r="F35" s="10">
        <v>1.0</v>
      </c>
      <c r="G35" s="79"/>
      <c r="H35" s="10">
        <v>1.0</v>
      </c>
      <c r="I35" s="10">
        <v>1.0</v>
      </c>
      <c r="J35" s="80"/>
      <c r="K35" s="10">
        <v>1.0</v>
      </c>
      <c r="L35" s="10">
        <v>1.0</v>
      </c>
      <c r="M35" s="81"/>
      <c r="N35" s="82">
        <v>1.0</v>
      </c>
      <c r="O35" s="79">
        <v>1.0</v>
      </c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5.75" customHeight="1">
      <c r="A36" s="20" t="s">
        <v>64</v>
      </c>
      <c r="B36" s="10">
        <v>1.0</v>
      </c>
      <c r="C36" s="10">
        <v>1.0</v>
      </c>
      <c r="D36" s="79"/>
      <c r="E36" s="10">
        <v>1.0</v>
      </c>
      <c r="F36" s="10">
        <v>1.0</v>
      </c>
      <c r="G36" s="79"/>
      <c r="H36" s="10">
        <v>1.0</v>
      </c>
      <c r="I36" s="10">
        <v>1.0</v>
      </c>
      <c r="J36" s="80"/>
      <c r="K36" s="10">
        <v>1.0</v>
      </c>
      <c r="L36" s="10">
        <v>1.0</v>
      </c>
      <c r="M36" s="81"/>
      <c r="N36" s="82">
        <v>1.0</v>
      </c>
      <c r="O36" s="79">
        <v>1.0</v>
      </c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15.75" customHeight="1">
      <c r="A37" s="20" t="s">
        <v>65</v>
      </c>
      <c r="B37" s="10">
        <v>1.0</v>
      </c>
      <c r="C37" s="10">
        <v>1.0</v>
      </c>
      <c r="D37" s="79"/>
      <c r="E37" s="10">
        <v>1.0</v>
      </c>
      <c r="F37" s="10">
        <v>1.0</v>
      </c>
      <c r="G37" s="79"/>
      <c r="H37" s="10">
        <v>1.0</v>
      </c>
      <c r="I37" s="10">
        <v>1.0</v>
      </c>
      <c r="J37" s="80"/>
      <c r="K37" s="10">
        <v>1.0</v>
      </c>
      <c r="L37" s="10">
        <v>1.0</v>
      </c>
      <c r="M37" s="81"/>
      <c r="N37" s="82">
        <v>1.0</v>
      </c>
      <c r="O37" s="79">
        <v>1.0</v>
      </c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5.75" customHeight="1">
      <c r="A38" s="20" t="s">
        <v>66</v>
      </c>
      <c r="B38" s="10">
        <v>1.0</v>
      </c>
      <c r="C38" s="10">
        <v>1.0</v>
      </c>
      <c r="D38" s="79"/>
      <c r="E38" s="10">
        <v>1.0</v>
      </c>
      <c r="F38" s="10">
        <v>1.0</v>
      </c>
      <c r="G38" s="79"/>
      <c r="H38" s="10">
        <v>1.0</v>
      </c>
      <c r="I38" s="10">
        <v>1.0</v>
      </c>
      <c r="J38" s="80"/>
      <c r="K38" s="10">
        <v>1.0</v>
      </c>
      <c r="L38" s="10">
        <v>1.0</v>
      </c>
      <c r="M38" s="81"/>
      <c r="N38" s="82">
        <v>1.0</v>
      </c>
      <c r="O38" s="79">
        <v>1.0</v>
      </c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5.75" customHeight="1">
      <c r="A39" s="20" t="s">
        <v>67</v>
      </c>
      <c r="B39" s="10">
        <v>1.0</v>
      </c>
      <c r="C39" s="10">
        <v>1.0</v>
      </c>
      <c r="D39" s="79"/>
      <c r="E39" s="10">
        <v>1.0</v>
      </c>
      <c r="F39" s="10">
        <v>1.0</v>
      </c>
      <c r="G39" s="79"/>
      <c r="H39" s="10">
        <v>1.0</v>
      </c>
      <c r="I39" s="10">
        <v>1.0</v>
      </c>
      <c r="J39" s="80"/>
      <c r="K39" s="10">
        <v>1.0</v>
      </c>
      <c r="L39" s="10">
        <v>1.0</v>
      </c>
      <c r="M39" s="81"/>
      <c r="N39" s="82">
        <v>1.0</v>
      </c>
      <c r="O39" s="79">
        <v>1.0</v>
      </c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5.75" customHeight="1">
      <c r="A40" s="20" t="s">
        <v>68</v>
      </c>
      <c r="B40" s="10">
        <v>1.0</v>
      </c>
      <c r="C40" s="10">
        <v>1.0</v>
      </c>
      <c r="D40" s="79"/>
      <c r="E40" s="10">
        <v>1.0</v>
      </c>
      <c r="F40" s="10">
        <v>1.0</v>
      </c>
      <c r="G40" s="79"/>
      <c r="H40" s="10">
        <v>1.0</v>
      </c>
      <c r="I40" s="10">
        <v>1.0</v>
      </c>
      <c r="J40" s="83"/>
      <c r="K40" s="10">
        <v>1.0</v>
      </c>
      <c r="L40" s="10">
        <v>1.0</v>
      </c>
      <c r="M40" s="81"/>
      <c r="N40" s="82">
        <v>1.0</v>
      </c>
      <c r="O40" s="79">
        <v>1.0</v>
      </c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5.75" customHeight="1">
      <c r="A41" s="84" t="s">
        <v>69</v>
      </c>
      <c r="B41" s="10">
        <v>1.0</v>
      </c>
      <c r="C41" s="10">
        <v>1.0</v>
      </c>
      <c r="D41" s="79"/>
      <c r="E41" s="10">
        <v>1.0</v>
      </c>
      <c r="F41" s="10">
        <v>1.0</v>
      </c>
      <c r="G41" s="79"/>
      <c r="H41" s="10">
        <v>1.0</v>
      </c>
      <c r="I41" s="10">
        <v>1.0</v>
      </c>
      <c r="J41" s="83"/>
      <c r="K41" s="10">
        <v>1.0</v>
      </c>
      <c r="L41" s="10">
        <v>1.0</v>
      </c>
      <c r="M41" s="81"/>
      <c r="N41" s="82">
        <v>1.0</v>
      </c>
      <c r="O41" s="79">
        <v>1.0</v>
      </c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5.75" customHeight="1">
      <c r="A42" s="84" t="s">
        <v>70</v>
      </c>
      <c r="B42" s="10">
        <v>1.0</v>
      </c>
      <c r="C42" s="10">
        <v>1.0</v>
      </c>
      <c r="D42" s="79"/>
      <c r="E42" s="10">
        <v>1.0</v>
      </c>
      <c r="F42" s="10">
        <v>1.0</v>
      </c>
      <c r="G42" s="79"/>
      <c r="H42" s="10">
        <v>1.0</v>
      </c>
      <c r="I42" s="10">
        <v>1.0</v>
      </c>
      <c r="J42" s="83"/>
      <c r="K42" s="10">
        <v>1.0</v>
      </c>
      <c r="L42" s="10">
        <v>1.0</v>
      </c>
      <c r="M42" s="81"/>
      <c r="N42" s="82">
        <v>1.0</v>
      </c>
      <c r="O42" s="79">
        <v>1.0</v>
      </c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5.75" customHeight="1">
      <c r="A43" s="84" t="s">
        <v>71</v>
      </c>
      <c r="B43" s="10">
        <v>1.0</v>
      </c>
      <c r="C43" s="10">
        <v>1.0</v>
      </c>
      <c r="D43" s="79"/>
      <c r="E43" s="10">
        <v>1.0</v>
      </c>
      <c r="F43" s="10">
        <v>1.0</v>
      </c>
      <c r="G43" s="79"/>
      <c r="H43" s="10">
        <v>1.0</v>
      </c>
      <c r="I43" s="10">
        <v>1.0</v>
      </c>
      <c r="J43" s="83"/>
      <c r="K43" s="10">
        <v>1.0</v>
      </c>
      <c r="L43" s="10">
        <v>1.0</v>
      </c>
      <c r="M43" s="81"/>
      <c r="N43" s="82">
        <v>1.0</v>
      </c>
      <c r="O43" s="79">
        <v>1.0</v>
      </c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5.75" customHeight="1">
      <c r="A44" s="84" t="s">
        <v>72</v>
      </c>
      <c r="B44" s="10">
        <v>1.0</v>
      </c>
      <c r="C44" s="10">
        <v>1.0</v>
      </c>
      <c r="D44" s="79"/>
      <c r="E44" s="10">
        <v>1.0</v>
      </c>
      <c r="F44" s="10">
        <v>1.0</v>
      </c>
      <c r="G44" s="79"/>
      <c r="H44" s="10">
        <v>1.0</v>
      </c>
      <c r="I44" s="10">
        <v>1.0</v>
      </c>
      <c r="J44" s="83"/>
      <c r="K44" s="10">
        <v>1.0</v>
      </c>
      <c r="L44" s="10">
        <v>1.0</v>
      </c>
      <c r="M44" s="81"/>
      <c r="N44" s="82">
        <v>1.0</v>
      </c>
      <c r="O44" s="79">
        <v>1.0</v>
      </c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5.75" customHeight="1">
      <c r="A45" s="84" t="s">
        <v>73</v>
      </c>
      <c r="B45" s="10">
        <v>1.0</v>
      </c>
      <c r="C45" s="10">
        <v>1.0</v>
      </c>
      <c r="D45" s="79"/>
      <c r="E45" s="10">
        <v>1.0</v>
      </c>
      <c r="F45" s="10">
        <v>1.0</v>
      </c>
      <c r="G45" s="79"/>
      <c r="H45" s="10">
        <v>1.0</v>
      </c>
      <c r="I45" s="10">
        <v>1.0</v>
      </c>
      <c r="J45" s="83"/>
      <c r="K45" s="10">
        <v>1.0</v>
      </c>
      <c r="L45" s="10">
        <v>1.0</v>
      </c>
      <c r="M45" s="81"/>
      <c r="N45" s="82">
        <v>1.0</v>
      </c>
      <c r="O45" s="79">
        <v>1.0</v>
      </c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5.75" customHeight="1">
      <c r="A46" s="84" t="s">
        <v>121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5.75" customHeight="1">
      <c r="A47" s="84" t="s">
        <v>121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5.75" customHeight="1">
      <c r="A48" s="84" t="s">
        <v>121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5.75" customHeight="1">
      <c r="A49" s="84" t="s">
        <v>121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5.75" customHeight="1">
      <c r="A50" s="84" t="s">
        <v>121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5.75" customHeight="1">
      <c r="A51" s="84" t="s">
        <v>121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5.75" customHeight="1">
      <c r="A52" s="84" t="s">
        <v>121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5.75" customHeight="1">
      <c r="A53" s="84" t="s">
        <v>121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5.75" customHeight="1">
      <c r="A54" s="84" t="s">
        <v>121</v>
      </c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5.75" customHeight="1">
      <c r="A55" s="84" t="s">
        <v>121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5.75" customHeight="1">
      <c r="A56" s="84" t="s">
        <v>121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5.75" customHeight="1">
      <c r="A57" s="84" t="s">
        <v>121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5.75" customHeight="1">
      <c r="A58" s="84" t="s">
        <v>121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5.75" customHeight="1">
      <c r="A59" s="84" t="s">
        <v>121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5.75" customHeight="1">
      <c r="A60" s="84" t="s">
        <v>121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5.75" customHeight="1">
      <c r="A61" s="84" t="s">
        <v>121</v>
      </c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5.75" customHeight="1">
      <c r="A62" s="84" t="s">
        <v>121</v>
      </c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5.75" customHeight="1">
      <c r="A63" s="84" t="s">
        <v>121</v>
      </c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5.75" customHeight="1">
      <c r="A64" s="84" t="s">
        <v>121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5.75" customHeight="1">
      <c r="A65" s="84" t="s">
        <v>121</v>
      </c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5.75" customHeight="1">
      <c r="A66" s="84" t="s">
        <v>121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5.75" customHeight="1">
      <c r="A67" s="84" t="s">
        <v>121</v>
      </c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5.75" customHeight="1">
      <c r="A68" s="84" t="s">
        <v>121</v>
      </c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5.75" customHeight="1">
      <c r="A69" s="84" t="s">
        <v>121</v>
      </c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5.75" customHeight="1">
      <c r="A70" s="84" t="s">
        <v>121</v>
      </c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5.75" customHeight="1">
      <c r="A71" s="84" t="s">
        <v>121</v>
      </c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5.75" customHeight="1">
      <c r="A72" s="84" t="s">
        <v>121</v>
      </c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5.75" customHeight="1">
      <c r="A73" s="84" t="s">
        <v>121</v>
      </c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5.75" customHeight="1">
      <c r="A74" s="84" t="s">
        <v>121</v>
      </c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5.75" customHeight="1">
      <c r="A75" s="84" t="s">
        <v>121</v>
      </c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5.75" customHeight="1">
      <c r="A76" s="84" t="s">
        <v>121</v>
      </c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5.75" customHeight="1">
      <c r="A77" s="84" t="s">
        <v>121</v>
      </c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5.75" customHeight="1">
      <c r="A78" s="84" t="s">
        <v>121</v>
      </c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5.75" customHeight="1">
      <c r="A79" s="84" t="s">
        <v>121</v>
      </c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5.75" customHeight="1">
      <c r="A80" s="84" t="s">
        <v>121</v>
      </c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5.75" customHeight="1">
      <c r="A81" s="84" t="s">
        <v>121</v>
      </c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5.75" customHeight="1">
      <c r="A82" s="84" t="s">
        <v>121</v>
      </c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5.75" customHeight="1">
      <c r="A83" s="84" t="s">
        <v>121</v>
      </c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5.75" customHeight="1">
      <c r="A84" s="84" t="s">
        <v>121</v>
      </c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5.75" customHeight="1">
      <c r="A85" s="84" t="s">
        <v>121</v>
      </c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5.75" customHeight="1">
      <c r="A86" s="84" t="s">
        <v>121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5.75" customHeight="1">
      <c r="A87" s="84" t="s">
        <v>121</v>
      </c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5.75" customHeight="1">
      <c r="A88" s="84" t="s">
        <v>121</v>
      </c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5.75" customHeight="1">
      <c r="A89" s="84" t="s">
        <v>121</v>
      </c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5.75" customHeight="1">
      <c r="A90" s="84" t="s">
        <v>121</v>
      </c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5.75" customHeight="1">
      <c r="A91" s="84" t="s">
        <v>121</v>
      </c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5.75" customHeight="1">
      <c r="A92" s="84" t="s">
        <v>121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5.75" customHeight="1">
      <c r="A93" s="84" t="s">
        <v>121</v>
      </c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5.75" customHeight="1">
      <c r="A94" s="84" t="s">
        <v>121</v>
      </c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5.75" customHeight="1">
      <c r="A95" s="84" t="s">
        <v>121</v>
      </c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5.75" customHeight="1">
      <c r="A96" s="84" t="s">
        <v>121</v>
      </c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5.75" customHeight="1">
      <c r="A97" s="84" t="s">
        <v>121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5.75" customHeight="1">
      <c r="A98" s="84" t="s">
        <v>121</v>
      </c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5.75" customHeight="1">
      <c r="A99" s="84" t="s">
        <v>121</v>
      </c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5.75" customHeight="1">
      <c r="A100" s="84" t="s">
        <v>121</v>
      </c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5.75" customHeight="1">
      <c r="A101" s="84" t="s">
        <v>121</v>
      </c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5.75" customHeight="1">
      <c r="A102" s="84" t="s">
        <v>121</v>
      </c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5.75" customHeight="1">
      <c r="A103" s="84" t="s">
        <v>121</v>
      </c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5.75" customHeight="1">
      <c r="A104" s="84" t="str">
        <f>IF('1_Cadastramento'!$A$103="","",'1_Cadastramento'!$A$103)</f>
        <v/>
      </c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5.75" customHeight="1">
      <c r="A105" s="84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21"/>
      <c r="S105" s="21"/>
      <c r="T105" s="21"/>
      <c r="U105" s="21"/>
      <c r="V105" s="21"/>
      <c r="W105" s="57"/>
      <c r="X105" s="57"/>
      <c r="Y105" s="57"/>
      <c r="Z105" s="57"/>
    </row>
    <row r="106" ht="15.75" customHeight="1">
      <c r="A106" s="84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21"/>
      <c r="S106" s="21"/>
      <c r="T106" s="21"/>
      <c r="U106" s="21"/>
      <c r="V106" s="21"/>
      <c r="W106" s="57"/>
      <c r="X106" s="57"/>
      <c r="Y106" s="57"/>
      <c r="Z106" s="57"/>
    </row>
    <row r="107" ht="15.75" customHeight="1">
      <c r="A107" s="84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21"/>
      <c r="S107" s="21"/>
      <c r="T107" s="21"/>
      <c r="U107" s="21"/>
      <c r="V107" s="21"/>
      <c r="W107" s="57"/>
      <c r="X107" s="57"/>
      <c r="Y107" s="57"/>
      <c r="Z107" s="57"/>
    </row>
    <row r="108" ht="15.75" customHeight="1">
      <c r="A108" s="84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21"/>
      <c r="S108" s="21"/>
      <c r="T108" s="21"/>
      <c r="U108" s="21"/>
      <c r="V108" s="21"/>
      <c r="W108" s="57"/>
      <c r="X108" s="57"/>
      <c r="Y108" s="57"/>
      <c r="Z108" s="57"/>
    </row>
    <row r="109" ht="15.75" customHeight="1">
      <c r="A109" s="84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21"/>
      <c r="S109" s="21"/>
      <c r="T109" s="21"/>
      <c r="U109" s="21"/>
      <c r="V109" s="21"/>
      <c r="W109" s="57"/>
      <c r="X109" s="57"/>
      <c r="Y109" s="57"/>
      <c r="Z109" s="57"/>
    </row>
    <row r="110" ht="15.75" customHeight="1">
      <c r="A110" s="84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21"/>
      <c r="S110" s="21"/>
      <c r="T110" s="21"/>
      <c r="U110" s="21"/>
      <c r="V110" s="21"/>
      <c r="W110" s="57"/>
      <c r="X110" s="57"/>
      <c r="Y110" s="57"/>
      <c r="Z110" s="57"/>
    </row>
    <row r="111" ht="15.75" customHeight="1">
      <c r="A111" s="84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21"/>
      <c r="S111" s="21"/>
      <c r="T111" s="21"/>
      <c r="U111" s="21"/>
      <c r="V111" s="21"/>
      <c r="W111" s="57"/>
      <c r="X111" s="57"/>
      <c r="Y111" s="57"/>
      <c r="Z111" s="57"/>
    </row>
    <row r="112" ht="15.75" customHeight="1">
      <c r="A112" s="84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21"/>
      <c r="S112" s="21"/>
      <c r="T112" s="21"/>
      <c r="U112" s="21"/>
      <c r="V112" s="21"/>
      <c r="W112" s="57"/>
      <c r="X112" s="57"/>
      <c r="Y112" s="57"/>
      <c r="Z112" s="57"/>
    </row>
    <row r="113" ht="15.75" customHeight="1">
      <c r="A113" s="84"/>
      <c r="B113" s="84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21"/>
      <c r="S113" s="21"/>
      <c r="T113" s="21"/>
      <c r="U113" s="21"/>
      <c r="V113" s="21"/>
      <c r="W113" s="57"/>
      <c r="X113" s="57"/>
      <c r="Y113" s="57"/>
      <c r="Z113" s="57"/>
    </row>
    <row r="114" ht="15.75" customHeight="1">
      <c r="A114" s="84"/>
      <c r="B114" s="84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21"/>
      <c r="S114" s="21"/>
      <c r="T114" s="21"/>
      <c r="U114" s="21"/>
      <c r="V114" s="21"/>
      <c r="W114" s="57"/>
      <c r="X114" s="57"/>
      <c r="Y114" s="57"/>
      <c r="Z114" s="57"/>
    </row>
    <row r="115" ht="15.75" customHeight="1">
      <c r="A115" s="84"/>
      <c r="B115" s="84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21"/>
      <c r="S115" s="21"/>
      <c r="T115" s="21"/>
      <c r="U115" s="21"/>
      <c r="V115" s="21"/>
      <c r="W115" s="57"/>
      <c r="X115" s="57"/>
      <c r="Y115" s="57"/>
      <c r="Z115" s="57"/>
    </row>
    <row r="116" ht="15.75" customHeight="1">
      <c r="A116" s="84"/>
      <c r="B116" s="84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21"/>
      <c r="S116" s="21"/>
      <c r="T116" s="21"/>
      <c r="U116" s="21"/>
      <c r="V116" s="21"/>
      <c r="W116" s="57"/>
      <c r="X116" s="57"/>
      <c r="Y116" s="57"/>
      <c r="Z116" s="57"/>
    </row>
    <row r="117" ht="15.75" customHeight="1">
      <c r="A117" s="84"/>
      <c r="B117" s="84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21"/>
      <c r="S117" s="21"/>
      <c r="T117" s="21"/>
      <c r="U117" s="21"/>
      <c r="V117" s="21"/>
      <c r="W117" s="57"/>
      <c r="X117" s="57"/>
      <c r="Y117" s="57"/>
      <c r="Z117" s="57"/>
    </row>
    <row r="118" ht="15.75" customHeight="1">
      <c r="A118" s="84"/>
      <c r="B118" s="84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21"/>
      <c r="S118" s="21"/>
      <c r="T118" s="21"/>
      <c r="U118" s="21"/>
      <c r="V118" s="21"/>
      <c r="W118" s="57"/>
      <c r="X118" s="57"/>
      <c r="Y118" s="57"/>
      <c r="Z118" s="57"/>
    </row>
    <row r="119" ht="15.75" customHeight="1">
      <c r="A119" s="84"/>
      <c r="B119" s="84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21"/>
      <c r="S119" s="21"/>
      <c r="T119" s="21"/>
      <c r="U119" s="21"/>
      <c r="V119" s="21"/>
      <c r="W119" s="57"/>
      <c r="X119" s="57"/>
      <c r="Y119" s="57"/>
      <c r="Z119" s="57"/>
    </row>
    <row r="120" ht="15.75" customHeight="1">
      <c r="A120" s="84"/>
      <c r="B120" s="84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21"/>
      <c r="S120" s="21"/>
      <c r="T120" s="21"/>
      <c r="U120" s="21"/>
      <c r="V120" s="21"/>
      <c r="W120" s="57"/>
      <c r="X120" s="57"/>
      <c r="Y120" s="57"/>
      <c r="Z120" s="57"/>
    </row>
    <row r="121" ht="15.75" customHeight="1">
      <c r="A121" s="84"/>
      <c r="B121" s="84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21"/>
      <c r="S121" s="21"/>
      <c r="T121" s="21"/>
      <c r="U121" s="21"/>
      <c r="V121" s="21"/>
      <c r="W121" s="57"/>
      <c r="X121" s="57"/>
      <c r="Y121" s="57"/>
      <c r="Z121" s="57"/>
    </row>
    <row r="122" ht="15.75" customHeight="1">
      <c r="A122" s="84"/>
      <c r="B122" s="84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21"/>
      <c r="S122" s="21"/>
      <c r="T122" s="21"/>
      <c r="U122" s="21"/>
      <c r="V122" s="21"/>
      <c r="W122" s="57"/>
      <c r="X122" s="57"/>
      <c r="Y122" s="57"/>
      <c r="Z122" s="57"/>
    </row>
    <row r="123" ht="15.75" customHeight="1">
      <c r="A123" s="84"/>
      <c r="B123" s="84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21"/>
      <c r="S123" s="21"/>
      <c r="T123" s="21"/>
      <c r="U123" s="21"/>
      <c r="V123" s="21"/>
      <c r="W123" s="57"/>
      <c r="X123" s="57"/>
      <c r="Y123" s="57"/>
      <c r="Z123" s="57"/>
    </row>
    <row r="124" ht="15.75" customHeight="1">
      <c r="A124" s="84"/>
      <c r="B124" s="84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21"/>
      <c r="S124" s="21"/>
      <c r="T124" s="21"/>
      <c r="U124" s="21"/>
      <c r="V124" s="21"/>
      <c r="W124" s="57"/>
      <c r="X124" s="57"/>
      <c r="Y124" s="57"/>
      <c r="Z124" s="57"/>
    </row>
    <row r="125" ht="15.75" customHeight="1">
      <c r="A125" s="84"/>
      <c r="B125" s="84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21"/>
      <c r="S125" s="21"/>
      <c r="T125" s="21"/>
      <c r="U125" s="21"/>
      <c r="V125" s="21"/>
      <c r="W125" s="57"/>
      <c r="X125" s="57"/>
      <c r="Y125" s="57"/>
      <c r="Z125" s="57"/>
    </row>
    <row r="126" ht="15.75" customHeight="1">
      <c r="A126" s="84"/>
      <c r="B126" s="84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21"/>
      <c r="S126" s="21"/>
      <c r="T126" s="21"/>
      <c r="U126" s="21"/>
      <c r="V126" s="21"/>
      <c r="W126" s="57"/>
      <c r="X126" s="57"/>
      <c r="Y126" s="57"/>
      <c r="Z126" s="57"/>
    </row>
    <row r="127" ht="15.75" customHeight="1">
      <c r="A127" s="84"/>
      <c r="B127" s="84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21"/>
      <c r="S127" s="21"/>
      <c r="T127" s="21"/>
      <c r="U127" s="21"/>
      <c r="V127" s="21"/>
      <c r="W127" s="57"/>
      <c r="X127" s="57"/>
      <c r="Y127" s="57"/>
      <c r="Z127" s="57"/>
    </row>
    <row r="128" ht="15.75" customHeight="1">
      <c r="A128" s="84"/>
      <c r="B128" s="84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21"/>
      <c r="S128" s="21"/>
      <c r="T128" s="21"/>
      <c r="U128" s="21"/>
      <c r="V128" s="21"/>
      <c r="W128" s="57"/>
      <c r="X128" s="57"/>
      <c r="Y128" s="57"/>
      <c r="Z128" s="57"/>
    </row>
    <row r="129" ht="15.75" customHeight="1">
      <c r="A129" s="84"/>
      <c r="B129" s="84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21"/>
      <c r="S129" s="21"/>
      <c r="T129" s="21"/>
      <c r="U129" s="21"/>
      <c r="V129" s="21"/>
      <c r="W129" s="57"/>
      <c r="X129" s="57"/>
      <c r="Y129" s="57"/>
      <c r="Z129" s="57"/>
    </row>
    <row r="130" ht="15.75" customHeight="1">
      <c r="A130" s="84"/>
      <c r="B130" s="84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21"/>
      <c r="S130" s="21"/>
      <c r="T130" s="21"/>
      <c r="U130" s="21"/>
      <c r="V130" s="21"/>
      <c r="W130" s="57"/>
      <c r="X130" s="57"/>
      <c r="Y130" s="57"/>
      <c r="Z130" s="57"/>
    </row>
    <row r="131" ht="15.75" customHeight="1">
      <c r="A131" s="84"/>
      <c r="B131" s="84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21"/>
      <c r="S131" s="21"/>
      <c r="T131" s="21"/>
      <c r="U131" s="21"/>
      <c r="V131" s="21"/>
      <c r="W131" s="57"/>
      <c r="X131" s="57"/>
      <c r="Y131" s="57"/>
      <c r="Z131" s="57"/>
    </row>
    <row r="132" ht="15.75" customHeight="1">
      <c r="A132" s="84"/>
      <c r="B132" s="84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21"/>
      <c r="S132" s="21"/>
      <c r="T132" s="21"/>
      <c r="U132" s="21"/>
      <c r="V132" s="21"/>
      <c r="W132" s="57"/>
      <c r="X132" s="57"/>
      <c r="Y132" s="57"/>
      <c r="Z132" s="57"/>
    </row>
    <row r="133" ht="15.75" customHeight="1">
      <c r="A133" s="84"/>
      <c r="B133" s="84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21"/>
      <c r="S133" s="21"/>
      <c r="T133" s="21"/>
      <c r="U133" s="21"/>
      <c r="V133" s="21"/>
      <c r="W133" s="57"/>
      <c r="X133" s="57"/>
      <c r="Y133" s="57"/>
      <c r="Z133" s="57"/>
    </row>
    <row r="134" ht="15.75" customHeight="1">
      <c r="A134" s="84"/>
      <c r="B134" s="84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21"/>
      <c r="S134" s="21"/>
      <c r="T134" s="21"/>
      <c r="U134" s="21"/>
      <c r="V134" s="21"/>
      <c r="W134" s="57"/>
      <c r="X134" s="57"/>
      <c r="Y134" s="57"/>
      <c r="Z134" s="57"/>
    </row>
    <row r="135" ht="15.75" customHeight="1">
      <c r="A135" s="84"/>
      <c r="B135" s="84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21"/>
      <c r="S135" s="21"/>
      <c r="T135" s="21"/>
      <c r="U135" s="21"/>
      <c r="V135" s="21"/>
      <c r="W135" s="57"/>
      <c r="X135" s="57"/>
      <c r="Y135" s="57"/>
      <c r="Z135" s="57"/>
    </row>
    <row r="136" ht="15.75" customHeight="1">
      <c r="A136" s="84"/>
      <c r="B136" s="84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21"/>
      <c r="S136" s="21"/>
      <c r="T136" s="21"/>
      <c r="U136" s="21"/>
      <c r="V136" s="21"/>
      <c r="W136" s="57"/>
      <c r="X136" s="57"/>
      <c r="Y136" s="57"/>
      <c r="Z136" s="57"/>
    </row>
    <row r="137" ht="15.75" customHeight="1">
      <c r="A137" s="84"/>
      <c r="B137" s="84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21"/>
      <c r="S137" s="21"/>
      <c r="T137" s="21"/>
      <c r="U137" s="21"/>
      <c r="V137" s="21"/>
      <c r="W137" s="57"/>
      <c r="X137" s="57"/>
      <c r="Y137" s="57"/>
      <c r="Z137" s="57"/>
    </row>
    <row r="138" ht="15.75" customHeight="1">
      <c r="A138" s="84"/>
      <c r="B138" s="84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21"/>
      <c r="S138" s="21"/>
      <c r="T138" s="21"/>
      <c r="U138" s="21"/>
      <c r="V138" s="21"/>
      <c r="W138" s="57"/>
      <c r="X138" s="57"/>
      <c r="Y138" s="57"/>
      <c r="Z138" s="57"/>
    </row>
    <row r="139" ht="15.75" customHeight="1">
      <c r="A139" s="84"/>
      <c r="B139" s="84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21"/>
      <c r="S139" s="21"/>
      <c r="T139" s="21"/>
      <c r="U139" s="21"/>
      <c r="V139" s="21"/>
      <c r="W139" s="57"/>
      <c r="X139" s="57"/>
      <c r="Y139" s="57"/>
      <c r="Z139" s="57"/>
    </row>
    <row r="140" ht="15.75" customHeight="1">
      <c r="A140" s="84"/>
      <c r="B140" s="84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21"/>
      <c r="S140" s="21"/>
      <c r="T140" s="21"/>
      <c r="U140" s="21"/>
      <c r="V140" s="21"/>
      <c r="W140" s="57"/>
      <c r="X140" s="57"/>
      <c r="Y140" s="57"/>
      <c r="Z140" s="57"/>
    </row>
    <row r="141" ht="15.75" customHeight="1">
      <c r="A141" s="84"/>
      <c r="B141" s="84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21"/>
      <c r="S141" s="21"/>
      <c r="T141" s="21"/>
      <c r="U141" s="21"/>
      <c r="V141" s="21"/>
      <c r="W141" s="57"/>
      <c r="X141" s="57"/>
      <c r="Y141" s="57"/>
      <c r="Z141" s="57"/>
    </row>
    <row r="142" ht="15.75" customHeight="1">
      <c r="A142" s="84"/>
      <c r="B142" s="84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21"/>
      <c r="S142" s="21"/>
      <c r="T142" s="21"/>
      <c r="U142" s="21"/>
      <c r="V142" s="21"/>
      <c r="W142" s="57"/>
      <c r="X142" s="57"/>
      <c r="Y142" s="57"/>
      <c r="Z142" s="57"/>
    </row>
    <row r="143" ht="15.75" customHeight="1">
      <c r="A143" s="84"/>
      <c r="B143" s="84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21"/>
      <c r="S143" s="21"/>
      <c r="T143" s="21"/>
      <c r="U143" s="21"/>
      <c r="V143" s="21"/>
      <c r="W143" s="57"/>
      <c r="X143" s="57"/>
      <c r="Y143" s="57"/>
      <c r="Z143" s="57"/>
    </row>
    <row r="144" ht="15.75" customHeight="1">
      <c r="A144" s="84"/>
      <c r="B144" s="84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21"/>
      <c r="S144" s="21"/>
      <c r="T144" s="21"/>
      <c r="U144" s="21"/>
      <c r="V144" s="21"/>
      <c r="W144" s="57"/>
      <c r="X144" s="57"/>
      <c r="Y144" s="57"/>
      <c r="Z144" s="57"/>
    </row>
    <row r="145" ht="15.75" customHeight="1">
      <c r="A145" s="84"/>
      <c r="B145" s="84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21"/>
      <c r="S145" s="21"/>
      <c r="T145" s="21"/>
      <c r="U145" s="21"/>
      <c r="V145" s="21"/>
      <c r="W145" s="57"/>
      <c r="X145" s="57"/>
      <c r="Y145" s="57"/>
      <c r="Z145" s="57"/>
    </row>
    <row r="146" ht="15.75" customHeight="1">
      <c r="A146" s="84"/>
      <c r="B146" s="84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21"/>
      <c r="S146" s="21"/>
      <c r="T146" s="21"/>
      <c r="U146" s="21"/>
      <c r="V146" s="21"/>
      <c r="W146" s="57"/>
      <c r="X146" s="57"/>
      <c r="Y146" s="57"/>
      <c r="Z146" s="57"/>
    </row>
    <row r="147" ht="15.75" customHeight="1">
      <c r="A147" s="84"/>
      <c r="B147" s="84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21"/>
      <c r="S147" s="21"/>
      <c r="T147" s="21"/>
      <c r="U147" s="21"/>
      <c r="V147" s="21"/>
      <c r="W147" s="57"/>
      <c r="X147" s="57"/>
      <c r="Y147" s="57"/>
      <c r="Z147" s="57"/>
    </row>
    <row r="148" ht="15.75" customHeight="1">
      <c r="A148" s="84"/>
      <c r="B148" s="84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21"/>
      <c r="S148" s="21"/>
      <c r="T148" s="21"/>
      <c r="U148" s="21"/>
      <c r="V148" s="21"/>
      <c r="W148" s="57"/>
      <c r="X148" s="57"/>
      <c r="Y148" s="57"/>
      <c r="Z148" s="57"/>
    </row>
    <row r="149" ht="15.75" customHeight="1">
      <c r="A149" s="84"/>
      <c r="B149" s="84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21"/>
      <c r="S149" s="21"/>
      <c r="T149" s="21"/>
      <c r="U149" s="21"/>
      <c r="V149" s="21"/>
      <c r="W149" s="57"/>
      <c r="X149" s="57"/>
      <c r="Y149" s="57"/>
      <c r="Z149" s="57"/>
    </row>
    <row r="150" ht="15.75" customHeight="1">
      <c r="A150" s="84"/>
      <c r="B150" s="84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21"/>
      <c r="S150" s="21"/>
      <c r="T150" s="21"/>
      <c r="U150" s="21"/>
      <c r="V150" s="21"/>
      <c r="W150" s="57"/>
      <c r="X150" s="57"/>
      <c r="Y150" s="57"/>
      <c r="Z150" s="57"/>
    </row>
    <row r="151" ht="15.75" customHeight="1">
      <c r="A151" s="84"/>
      <c r="B151" s="84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21"/>
      <c r="S151" s="21"/>
      <c r="T151" s="21"/>
      <c r="U151" s="21"/>
      <c r="V151" s="21"/>
      <c r="W151" s="57"/>
      <c r="X151" s="57"/>
      <c r="Y151" s="57"/>
      <c r="Z151" s="57"/>
    </row>
    <row r="152" ht="15.75" customHeight="1">
      <c r="A152" s="84"/>
      <c r="B152" s="84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21"/>
      <c r="S152" s="21"/>
      <c r="T152" s="21"/>
      <c r="U152" s="21"/>
      <c r="V152" s="21"/>
      <c r="W152" s="57"/>
      <c r="X152" s="57"/>
      <c r="Y152" s="57"/>
      <c r="Z152" s="57"/>
    </row>
    <row r="153" ht="15.75" customHeight="1">
      <c r="A153" s="84"/>
      <c r="B153" s="84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21"/>
      <c r="S153" s="21"/>
      <c r="T153" s="21"/>
      <c r="U153" s="21"/>
      <c r="V153" s="21"/>
      <c r="W153" s="57"/>
      <c r="X153" s="57"/>
      <c r="Y153" s="57"/>
      <c r="Z153" s="57"/>
    </row>
    <row r="154" ht="15.75" customHeight="1">
      <c r="A154" s="84"/>
      <c r="B154" s="84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21"/>
      <c r="S154" s="21"/>
      <c r="T154" s="21"/>
      <c r="U154" s="21"/>
      <c r="V154" s="21"/>
      <c r="W154" s="57"/>
      <c r="X154" s="57"/>
      <c r="Y154" s="57"/>
      <c r="Z154" s="57"/>
    </row>
    <row r="155" ht="15.75" customHeight="1">
      <c r="A155" s="84"/>
      <c r="B155" s="84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21"/>
      <c r="S155" s="21"/>
      <c r="T155" s="21"/>
      <c r="U155" s="21"/>
      <c r="V155" s="21"/>
      <c r="W155" s="57"/>
      <c r="X155" s="57"/>
      <c r="Y155" s="57"/>
      <c r="Z155" s="57"/>
    </row>
    <row r="156" ht="15.75" customHeight="1">
      <c r="A156" s="84"/>
      <c r="B156" s="84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21"/>
      <c r="S156" s="21"/>
      <c r="T156" s="21"/>
      <c r="U156" s="21"/>
      <c r="V156" s="21"/>
      <c r="W156" s="57"/>
      <c r="X156" s="57"/>
      <c r="Y156" s="57"/>
      <c r="Z156" s="57"/>
    </row>
    <row r="157" ht="15.75" customHeight="1">
      <c r="A157" s="84"/>
      <c r="B157" s="84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21"/>
      <c r="S157" s="21"/>
      <c r="T157" s="21"/>
      <c r="U157" s="21"/>
      <c r="V157" s="21"/>
      <c r="W157" s="57"/>
      <c r="X157" s="57"/>
      <c r="Y157" s="57"/>
      <c r="Z157" s="57"/>
    </row>
    <row r="158" ht="15.75" customHeight="1">
      <c r="A158" s="84"/>
      <c r="B158" s="84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21"/>
      <c r="S158" s="21"/>
      <c r="T158" s="21"/>
      <c r="U158" s="21"/>
      <c r="V158" s="21"/>
      <c r="W158" s="57"/>
      <c r="X158" s="57"/>
      <c r="Y158" s="57"/>
      <c r="Z158" s="57"/>
    </row>
    <row r="159" ht="15.75" customHeight="1">
      <c r="A159" s="84"/>
      <c r="B159" s="84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21"/>
      <c r="S159" s="21"/>
      <c r="T159" s="21"/>
      <c r="U159" s="21"/>
      <c r="V159" s="21"/>
      <c r="W159" s="57"/>
      <c r="X159" s="57"/>
      <c r="Y159" s="57"/>
      <c r="Z159" s="57"/>
    </row>
    <row r="160" ht="15.75" customHeight="1">
      <c r="A160" s="84"/>
      <c r="B160" s="84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21"/>
      <c r="S160" s="21"/>
      <c r="T160" s="21"/>
      <c r="U160" s="21"/>
      <c r="V160" s="21"/>
      <c r="W160" s="57"/>
      <c r="X160" s="57"/>
      <c r="Y160" s="57"/>
      <c r="Z160" s="57"/>
    </row>
    <row r="161" ht="15.75" customHeight="1">
      <c r="A161" s="84"/>
      <c r="B161" s="84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21"/>
      <c r="S161" s="21"/>
      <c r="T161" s="21"/>
      <c r="U161" s="21"/>
      <c r="V161" s="21"/>
      <c r="W161" s="57"/>
      <c r="X161" s="57"/>
      <c r="Y161" s="57"/>
      <c r="Z161" s="57"/>
    </row>
    <row r="162" ht="15.75" customHeight="1">
      <c r="A162" s="84"/>
      <c r="B162" s="84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21"/>
      <c r="S162" s="21"/>
      <c r="T162" s="21"/>
      <c r="U162" s="21"/>
      <c r="V162" s="21"/>
      <c r="W162" s="57"/>
      <c r="X162" s="57"/>
      <c r="Y162" s="57"/>
      <c r="Z162" s="57"/>
    </row>
    <row r="163" ht="15.75" customHeight="1">
      <c r="A163" s="84"/>
      <c r="B163" s="84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21"/>
      <c r="S163" s="21"/>
      <c r="T163" s="21"/>
      <c r="U163" s="21"/>
      <c r="V163" s="21"/>
      <c r="W163" s="57"/>
      <c r="X163" s="57"/>
      <c r="Y163" s="57"/>
      <c r="Z163" s="57"/>
    </row>
    <row r="164" ht="15.75" customHeight="1">
      <c r="A164" s="84"/>
      <c r="B164" s="84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21"/>
      <c r="S164" s="21"/>
      <c r="T164" s="21"/>
      <c r="U164" s="21"/>
      <c r="V164" s="21"/>
      <c r="W164" s="57"/>
      <c r="X164" s="57"/>
      <c r="Y164" s="57"/>
      <c r="Z164" s="57"/>
    </row>
    <row r="165" ht="15.75" customHeight="1">
      <c r="A165" s="84"/>
      <c r="B165" s="84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21"/>
      <c r="S165" s="21"/>
      <c r="T165" s="21"/>
      <c r="U165" s="21"/>
      <c r="V165" s="21"/>
      <c r="W165" s="57"/>
      <c r="X165" s="57"/>
      <c r="Y165" s="57"/>
      <c r="Z165" s="57"/>
    </row>
    <row r="166" ht="15.75" customHeight="1">
      <c r="A166" s="84"/>
      <c r="B166" s="84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21"/>
      <c r="S166" s="21"/>
      <c r="T166" s="21"/>
      <c r="U166" s="21"/>
      <c r="V166" s="21"/>
      <c r="W166" s="57"/>
      <c r="X166" s="57"/>
      <c r="Y166" s="57"/>
      <c r="Z166" s="57"/>
    </row>
    <row r="167" ht="15.75" customHeight="1">
      <c r="A167" s="84"/>
      <c r="B167" s="84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21"/>
      <c r="S167" s="21"/>
      <c r="T167" s="21"/>
      <c r="U167" s="21"/>
      <c r="V167" s="21"/>
      <c r="W167" s="57"/>
      <c r="X167" s="57"/>
      <c r="Y167" s="57"/>
      <c r="Z167" s="57"/>
    </row>
    <row r="168" ht="15.75" customHeight="1">
      <c r="A168" s="84"/>
      <c r="B168" s="84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21"/>
      <c r="S168" s="21"/>
      <c r="T168" s="21"/>
      <c r="U168" s="21"/>
      <c r="V168" s="21"/>
      <c r="W168" s="57"/>
      <c r="X168" s="57"/>
      <c r="Y168" s="57"/>
      <c r="Z168" s="57"/>
    </row>
    <row r="169" ht="15.75" customHeight="1">
      <c r="A169" s="84"/>
      <c r="B169" s="84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21"/>
      <c r="S169" s="21"/>
      <c r="T169" s="21"/>
      <c r="U169" s="21"/>
      <c r="V169" s="21"/>
      <c r="W169" s="57"/>
      <c r="X169" s="57"/>
      <c r="Y169" s="57"/>
      <c r="Z169" s="57"/>
    </row>
    <row r="170" ht="15.75" customHeight="1">
      <c r="A170" s="84"/>
      <c r="B170" s="84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21"/>
      <c r="S170" s="21"/>
      <c r="T170" s="21"/>
      <c r="U170" s="21"/>
      <c r="V170" s="21"/>
      <c r="W170" s="57"/>
      <c r="X170" s="57"/>
      <c r="Y170" s="57"/>
      <c r="Z170" s="57"/>
    </row>
    <row r="171" ht="15.75" customHeight="1">
      <c r="A171" s="84"/>
      <c r="B171" s="84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21"/>
      <c r="S171" s="21"/>
      <c r="T171" s="21"/>
      <c r="U171" s="21"/>
      <c r="V171" s="21"/>
      <c r="W171" s="57"/>
      <c r="X171" s="57"/>
      <c r="Y171" s="57"/>
      <c r="Z171" s="57"/>
    </row>
    <row r="172" ht="15.75" customHeight="1">
      <c r="A172" s="84"/>
      <c r="B172" s="84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21"/>
      <c r="S172" s="21"/>
      <c r="T172" s="21"/>
      <c r="U172" s="21"/>
      <c r="V172" s="21"/>
      <c r="W172" s="57"/>
      <c r="X172" s="57"/>
      <c r="Y172" s="57"/>
      <c r="Z172" s="57"/>
    </row>
    <row r="173" ht="15.75" customHeight="1">
      <c r="A173" s="84"/>
      <c r="B173" s="84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21"/>
      <c r="S173" s="21"/>
      <c r="T173" s="21"/>
      <c r="U173" s="21"/>
      <c r="V173" s="21"/>
      <c r="W173" s="57"/>
      <c r="X173" s="57"/>
      <c r="Y173" s="57"/>
      <c r="Z173" s="57"/>
    </row>
    <row r="174" ht="15.75" customHeight="1">
      <c r="A174" s="84"/>
      <c r="B174" s="84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21"/>
      <c r="S174" s="21"/>
      <c r="T174" s="21"/>
      <c r="U174" s="21"/>
      <c r="V174" s="21"/>
      <c r="W174" s="57"/>
      <c r="X174" s="57"/>
      <c r="Y174" s="57"/>
      <c r="Z174" s="57"/>
    </row>
    <row r="175" ht="15.75" customHeight="1">
      <c r="A175" s="84"/>
      <c r="B175" s="84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21"/>
      <c r="S175" s="21"/>
      <c r="T175" s="21"/>
      <c r="U175" s="21"/>
      <c r="V175" s="21"/>
      <c r="W175" s="57"/>
      <c r="X175" s="57"/>
      <c r="Y175" s="57"/>
      <c r="Z175" s="57"/>
    </row>
    <row r="176" ht="15.75" customHeight="1">
      <c r="A176" s="84"/>
      <c r="B176" s="84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21"/>
      <c r="S176" s="21"/>
      <c r="T176" s="21"/>
      <c r="U176" s="21"/>
      <c r="V176" s="21"/>
      <c r="W176" s="57"/>
      <c r="X176" s="57"/>
      <c r="Y176" s="57"/>
      <c r="Z176" s="57"/>
    </row>
    <row r="177" ht="15.75" customHeight="1">
      <c r="A177" s="84"/>
      <c r="B177" s="84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21"/>
      <c r="S177" s="21"/>
      <c r="T177" s="21"/>
      <c r="U177" s="21"/>
      <c r="V177" s="21"/>
      <c r="W177" s="57"/>
      <c r="X177" s="57"/>
      <c r="Y177" s="57"/>
      <c r="Z177" s="57"/>
    </row>
    <row r="178" ht="15.75" customHeight="1">
      <c r="A178" s="84"/>
      <c r="B178" s="84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21"/>
      <c r="S178" s="21"/>
      <c r="T178" s="21"/>
      <c r="U178" s="21"/>
      <c r="V178" s="21"/>
      <c r="W178" s="57"/>
      <c r="X178" s="57"/>
      <c r="Y178" s="57"/>
      <c r="Z178" s="57"/>
    </row>
    <row r="179" ht="15.75" customHeight="1">
      <c r="A179" s="84"/>
      <c r="B179" s="84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21"/>
      <c r="S179" s="21"/>
      <c r="T179" s="21"/>
      <c r="U179" s="21"/>
      <c r="V179" s="21"/>
      <c r="W179" s="57"/>
      <c r="X179" s="57"/>
      <c r="Y179" s="57"/>
      <c r="Z179" s="57"/>
    </row>
    <row r="180" ht="15.75" customHeight="1">
      <c r="A180" s="84"/>
      <c r="B180" s="84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21"/>
      <c r="S180" s="21"/>
      <c r="T180" s="21"/>
      <c r="U180" s="21"/>
      <c r="V180" s="21"/>
      <c r="W180" s="57"/>
      <c r="X180" s="57"/>
      <c r="Y180" s="57"/>
      <c r="Z180" s="57"/>
    </row>
    <row r="181" ht="15.75" customHeight="1">
      <c r="A181" s="84"/>
      <c r="B181" s="84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21"/>
      <c r="S181" s="21"/>
      <c r="T181" s="21"/>
      <c r="U181" s="21"/>
      <c r="V181" s="21"/>
      <c r="W181" s="57"/>
      <c r="X181" s="57"/>
      <c r="Y181" s="57"/>
      <c r="Z181" s="57"/>
    </row>
    <row r="182" ht="15.75" customHeight="1">
      <c r="A182" s="84"/>
      <c r="B182" s="84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21"/>
      <c r="S182" s="21"/>
      <c r="T182" s="21"/>
      <c r="U182" s="21"/>
      <c r="V182" s="21"/>
      <c r="W182" s="57"/>
      <c r="X182" s="57"/>
      <c r="Y182" s="57"/>
      <c r="Z182" s="57"/>
    </row>
    <row r="183" ht="15.75" customHeight="1">
      <c r="A183" s="84"/>
      <c r="B183" s="84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21"/>
      <c r="S183" s="21"/>
      <c r="T183" s="21"/>
      <c r="U183" s="21"/>
      <c r="V183" s="21"/>
      <c r="W183" s="57"/>
      <c r="X183" s="57"/>
      <c r="Y183" s="57"/>
      <c r="Z183" s="57"/>
    </row>
    <row r="184" ht="15.75" customHeight="1">
      <c r="A184" s="84"/>
      <c r="B184" s="84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21"/>
      <c r="S184" s="21"/>
      <c r="T184" s="21"/>
      <c r="U184" s="21"/>
      <c r="V184" s="21"/>
      <c r="W184" s="57"/>
      <c r="X184" s="57"/>
      <c r="Y184" s="57"/>
      <c r="Z184" s="57"/>
    </row>
    <row r="185" ht="15.75" customHeight="1">
      <c r="A185" s="84"/>
      <c r="B185" s="84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21"/>
      <c r="S185" s="21"/>
      <c r="T185" s="21"/>
      <c r="U185" s="21"/>
      <c r="V185" s="21"/>
      <c r="W185" s="57"/>
      <c r="X185" s="57"/>
      <c r="Y185" s="57"/>
      <c r="Z185" s="57"/>
    </row>
    <row r="186" ht="15.75" customHeight="1">
      <c r="A186" s="84"/>
      <c r="B186" s="84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21"/>
      <c r="S186" s="21"/>
      <c r="T186" s="21"/>
      <c r="U186" s="21"/>
      <c r="V186" s="21"/>
      <c r="W186" s="57"/>
      <c r="X186" s="57"/>
      <c r="Y186" s="57"/>
      <c r="Z186" s="57"/>
    </row>
    <row r="187" ht="15.75" customHeight="1">
      <c r="A187" s="84"/>
      <c r="B187" s="84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21"/>
      <c r="S187" s="21"/>
      <c r="T187" s="21"/>
      <c r="U187" s="21"/>
      <c r="V187" s="21"/>
      <c r="W187" s="57"/>
      <c r="X187" s="57"/>
      <c r="Y187" s="57"/>
      <c r="Z187" s="57"/>
    </row>
    <row r="188" ht="15.75" customHeight="1">
      <c r="A188" s="84"/>
      <c r="B188" s="84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21"/>
      <c r="S188" s="21"/>
      <c r="T188" s="21"/>
      <c r="U188" s="21"/>
      <c r="V188" s="21"/>
      <c r="W188" s="57"/>
      <c r="X188" s="57"/>
      <c r="Y188" s="57"/>
      <c r="Z188" s="57"/>
    </row>
    <row r="189" ht="15.75" customHeight="1">
      <c r="A189" s="84"/>
      <c r="B189" s="84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21"/>
      <c r="S189" s="21"/>
      <c r="T189" s="21"/>
      <c r="U189" s="21"/>
      <c r="V189" s="21"/>
      <c r="W189" s="57"/>
      <c r="X189" s="57"/>
      <c r="Y189" s="57"/>
      <c r="Z189" s="57"/>
    </row>
    <row r="190" ht="15.75" customHeight="1">
      <c r="A190" s="84"/>
      <c r="B190" s="84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21"/>
      <c r="S190" s="21"/>
      <c r="T190" s="21"/>
      <c r="U190" s="21"/>
      <c r="V190" s="21"/>
      <c r="W190" s="57"/>
      <c r="X190" s="57"/>
      <c r="Y190" s="57"/>
      <c r="Z190" s="57"/>
    </row>
    <row r="191" ht="15.75" customHeight="1">
      <c r="A191" s="84"/>
      <c r="B191" s="84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21"/>
      <c r="S191" s="21"/>
      <c r="T191" s="21"/>
      <c r="U191" s="21"/>
      <c r="V191" s="21"/>
      <c r="W191" s="57"/>
      <c r="X191" s="57"/>
      <c r="Y191" s="57"/>
      <c r="Z191" s="57"/>
    </row>
    <row r="192" ht="15.75" customHeight="1">
      <c r="A192" s="84"/>
      <c r="B192" s="84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21"/>
      <c r="S192" s="21"/>
      <c r="T192" s="21"/>
      <c r="U192" s="21"/>
      <c r="V192" s="21"/>
      <c r="W192" s="57"/>
      <c r="X192" s="57"/>
      <c r="Y192" s="57"/>
      <c r="Z192" s="57"/>
    </row>
    <row r="193" ht="15.75" customHeight="1">
      <c r="A193" s="84"/>
      <c r="B193" s="84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21"/>
      <c r="S193" s="21"/>
      <c r="T193" s="21"/>
      <c r="U193" s="21"/>
      <c r="V193" s="21"/>
      <c r="W193" s="57"/>
      <c r="X193" s="57"/>
      <c r="Y193" s="57"/>
      <c r="Z193" s="57"/>
    </row>
    <row r="194" ht="15.75" customHeight="1">
      <c r="A194" s="84"/>
      <c r="B194" s="84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21"/>
      <c r="S194" s="21"/>
      <c r="T194" s="21"/>
      <c r="U194" s="21"/>
      <c r="V194" s="21"/>
      <c r="W194" s="57"/>
      <c r="X194" s="57"/>
      <c r="Y194" s="57"/>
      <c r="Z194" s="57"/>
    </row>
    <row r="195" ht="15.75" customHeight="1">
      <c r="A195" s="84"/>
      <c r="B195" s="84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21"/>
      <c r="S195" s="21"/>
      <c r="T195" s="21"/>
      <c r="U195" s="21"/>
      <c r="V195" s="21"/>
      <c r="W195" s="57"/>
      <c r="X195" s="57"/>
      <c r="Y195" s="57"/>
      <c r="Z195" s="57"/>
    </row>
    <row r="196" ht="15.75" customHeight="1">
      <c r="A196" s="84"/>
      <c r="B196" s="84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21"/>
      <c r="S196" s="21"/>
      <c r="T196" s="21"/>
      <c r="U196" s="21"/>
      <c r="V196" s="21"/>
      <c r="W196" s="57"/>
      <c r="X196" s="57"/>
      <c r="Y196" s="57"/>
      <c r="Z196" s="57"/>
    </row>
    <row r="197" ht="15.75" customHeight="1">
      <c r="A197" s="84"/>
      <c r="B197" s="84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21"/>
      <c r="S197" s="21"/>
      <c r="T197" s="21"/>
      <c r="U197" s="21"/>
      <c r="V197" s="21"/>
      <c r="W197" s="57"/>
      <c r="X197" s="57"/>
      <c r="Y197" s="57"/>
      <c r="Z197" s="57"/>
    </row>
    <row r="198" ht="15.75" customHeight="1">
      <c r="A198" s="84"/>
      <c r="B198" s="84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21"/>
      <c r="S198" s="21"/>
      <c r="T198" s="21"/>
      <c r="U198" s="21"/>
      <c r="V198" s="21"/>
      <c r="W198" s="57"/>
      <c r="X198" s="57"/>
      <c r="Y198" s="57"/>
      <c r="Z198" s="57"/>
    </row>
    <row r="199" ht="15.75" customHeight="1">
      <c r="A199" s="84"/>
      <c r="B199" s="84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21"/>
      <c r="S199" s="21"/>
      <c r="T199" s="21"/>
      <c r="U199" s="21"/>
      <c r="V199" s="21"/>
      <c r="W199" s="57"/>
      <c r="X199" s="57"/>
      <c r="Y199" s="57"/>
      <c r="Z199" s="57"/>
    </row>
    <row r="200" ht="15.75" customHeight="1">
      <c r="A200" s="84"/>
      <c r="B200" s="84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21"/>
      <c r="S200" s="21"/>
      <c r="T200" s="21"/>
      <c r="U200" s="21"/>
      <c r="V200" s="21"/>
      <c r="W200" s="57"/>
      <c r="X200" s="57"/>
      <c r="Y200" s="57"/>
      <c r="Z200" s="57"/>
    </row>
    <row r="201" ht="15.75" customHeight="1">
      <c r="A201" s="84"/>
      <c r="B201" s="84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21"/>
      <c r="S201" s="21"/>
      <c r="T201" s="21"/>
      <c r="U201" s="21"/>
      <c r="V201" s="21"/>
      <c r="W201" s="57"/>
      <c r="X201" s="57"/>
      <c r="Y201" s="57"/>
      <c r="Z201" s="57"/>
    </row>
    <row r="202" ht="15.75" customHeight="1">
      <c r="A202" s="84"/>
      <c r="B202" s="84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21"/>
      <c r="S202" s="21"/>
      <c r="T202" s="21"/>
      <c r="U202" s="21"/>
      <c r="V202" s="21"/>
      <c r="W202" s="57"/>
      <c r="X202" s="57"/>
      <c r="Y202" s="57"/>
      <c r="Z202" s="57"/>
    </row>
    <row r="203" ht="15.75" customHeight="1">
      <c r="A203" s="84"/>
      <c r="B203" s="84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21"/>
      <c r="S203" s="21"/>
      <c r="T203" s="21"/>
      <c r="U203" s="21"/>
      <c r="V203" s="21"/>
      <c r="W203" s="57"/>
      <c r="X203" s="57"/>
      <c r="Y203" s="57"/>
      <c r="Z203" s="57"/>
    </row>
    <row r="204" ht="15.75" customHeight="1">
      <c r="A204" s="84"/>
      <c r="B204" s="84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21"/>
      <c r="S204" s="21"/>
      <c r="T204" s="21"/>
      <c r="U204" s="21"/>
      <c r="V204" s="21"/>
      <c r="W204" s="57"/>
      <c r="X204" s="57"/>
      <c r="Y204" s="57"/>
      <c r="Z204" s="57"/>
    </row>
    <row r="205" ht="15.75" customHeight="1">
      <c r="A205" s="84"/>
      <c r="B205" s="84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21"/>
      <c r="S205" s="21"/>
      <c r="T205" s="21"/>
      <c r="U205" s="21"/>
      <c r="V205" s="21"/>
      <c r="W205" s="57"/>
      <c r="X205" s="57"/>
      <c r="Y205" s="57"/>
      <c r="Z205" s="57"/>
    </row>
    <row r="206" ht="15.75" customHeight="1">
      <c r="A206" s="84"/>
      <c r="B206" s="84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21"/>
      <c r="S206" s="21"/>
      <c r="T206" s="21"/>
      <c r="U206" s="21"/>
      <c r="V206" s="21"/>
      <c r="W206" s="57"/>
      <c r="X206" s="57"/>
      <c r="Y206" s="57"/>
      <c r="Z206" s="57"/>
    </row>
    <row r="207" ht="15.75" customHeight="1">
      <c r="A207" s="84"/>
      <c r="B207" s="84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21"/>
      <c r="S207" s="21"/>
      <c r="T207" s="21"/>
      <c r="U207" s="21"/>
      <c r="V207" s="21"/>
      <c r="W207" s="57"/>
      <c r="X207" s="57"/>
      <c r="Y207" s="57"/>
      <c r="Z207" s="57"/>
    </row>
    <row r="208" ht="15.75" customHeight="1">
      <c r="A208" s="84"/>
      <c r="B208" s="84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21"/>
      <c r="S208" s="21"/>
      <c r="T208" s="21"/>
      <c r="U208" s="21"/>
      <c r="V208" s="21"/>
      <c r="W208" s="57"/>
      <c r="X208" s="57"/>
      <c r="Y208" s="57"/>
      <c r="Z208" s="57"/>
    </row>
    <row r="209" ht="15.75" customHeight="1">
      <c r="A209" s="84"/>
      <c r="B209" s="84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21"/>
      <c r="S209" s="21"/>
      <c r="T209" s="21"/>
      <c r="U209" s="21"/>
      <c r="V209" s="21"/>
      <c r="W209" s="57"/>
      <c r="X209" s="57"/>
      <c r="Y209" s="57"/>
      <c r="Z209" s="57"/>
    </row>
    <row r="210" ht="15.75" customHeight="1">
      <c r="A210" s="84"/>
      <c r="B210" s="84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21"/>
      <c r="S210" s="21"/>
      <c r="T210" s="21"/>
      <c r="U210" s="21"/>
      <c r="V210" s="21"/>
      <c r="W210" s="57"/>
      <c r="X210" s="57"/>
      <c r="Y210" s="57"/>
      <c r="Z210" s="57"/>
    </row>
    <row r="211" ht="15.75" customHeight="1">
      <c r="A211" s="84"/>
      <c r="B211" s="84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21"/>
      <c r="S211" s="21"/>
      <c r="T211" s="21"/>
      <c r="U211" s="21"/>
      <c r="V211" s="21"/>
      <c r="W211" s="57"/>
      <c r="X211" s="57"/>
      <c r="Y211" s="57"/>
      <c r="Z211" s="57"/>
    </row>
    <row r="212" ht="15.75" customHeight="1">
      <c r="A212" s="84"/>
      <c r="B212" s="84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21"/>
      <c r="S212" s="21"/>
      <c r="T212" s="21"/>
      <c r="U212" s="21"/>
      <c r="V212" s="21"/>
      <c r="W212" s="57"/>
      <c r="X212" s="57"/>
      <c r="Y212" s="57"/>
      <c r="Z212" s="57"/>
    </row>
    <row r="213" ht="15.75" customHeight="1">
      <c r="A213" s="84"/>
      <c r="B213" s="84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21"/>
      <c r="S213" s="21"/>
      <c r="T213" s="21"/>
      <c r="U213" s="21"/>
      <c r="V213" s="21"/>
      <c r="W213" s="57"/>
      <c r="X213" s="57"/>
      <c r="Y213" s="57"/>
      <c r="Z213" s="57"/>
    </row>
    <row r="214" ht="15.75" customHeight="1">
      <c r="A214" s="84"/>
      <c r="B214" s="84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21"/>
      <c r="S214" s="21"/>
      <c r="T214" s="21"/>
      <c r="U214" s="21"/>
      <c r="V214" s="21"/>
      <c r="W214" s="57"/>
      <c r="X214" s="57"/>
      <c r="Y214" s="57"/>
      <c r="Z214" s="57"/>
    </row>
    <row r="215" ht="15.75" customHeight="1">
      <c r="A215" s="84"/>
      <c r="B215" s="84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21"/>
      <c r="S215" s="21"/>
      <c r="T215" s="21"/>
      <c r="U215" s="21"/>
      <c r="V215" s="21"/>
      <c r="W215" s="57"/>
      <c r="X215" s="57"/>
      <c r="Y215" s="57"/>
      <c r="Z215" s="57"/>
    </row>
    <row r="216" ht="15.75" customHeight="1">
      <c r="A216" s="84"/>
      <c r="B216" s="84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21"/>
      <c r="S216" s="21"/>
      <c r="T216" s="21"/>
      <c r="U216" s="21"/>
      <c r="V216" s="21"/>
      <c r="W216" s="57"/>
      <c r="X216" s="57"/>
      <c r="Y216" s="57"/>
      <c r="Z216" s="57"/>
    </row>
    <row r="217" ht="15.75" customHeight="1">
      <c r="A217" s="84"/>
      <c r="B217" s="84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21"/>
      <c r="S217" s="21"/>
      <c r="T217" s="21"/>
      <c r="U217" s="21"/>
      <c r="V217" s="21"/>
      <c r="W217" s="57"/>
      <c r="X217" s="57"/>
      <c r="Y217" s="57"/>
      <c r="Z217" s="57"/>
    </row>
    <row r="218" ht="15.75" customHeight="1">
      <c r="A218" s="84"/>
      <c r="B218" s="84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21"/>
      <c r="S218" s="21"/>
      <c r="T218" s="21"/>
      <c r="U218" s="21"/>
      <c r="V218" s="21"/>
      <c r="W218" s="57"/>
      <c r="X218" s="57"/>
      <c r="Y218" s="57"/>
      <c r="Z218" s="57"/>
    </row>
    <row r="219" ht="15.75" customHeight="1">
      <c r="A219" s="84"/>
      <c r="B219" s="84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21"/>
      <c r="S219" s="21"/>
      <c r="T219" s="21"/>
      <c r="U219" s="21"/>
      <c r="V219" s="21"/>
      <c r="W219" s="57"/>
      <c r="X219" s="57"/>
      <c r="Y219" s="57"/>
      <c r="Z219" s="57"/>
    </row>
    <row r="220" ht="15.75" customHeight="1">
      <c r="A220" s="84"/>
      <c r="B220" s="84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21"/>
      <c r="S220" s="21"/>
      <c r="T220" s="21"/>
      <c r="U220" s="21"/>
      <c r="V220" s="21"/>
      <c r="W220" s="57"/>
      <c r="X220" s="57"/>
      <c r="Y220" s="57"/>
      <c r="Z220" s="57"/>
    </row>
    <row r="221" ht="15.75" customHeight="1">
      <c r="A221" s="84"/>
      <c r="B221" s="84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21"/>
      <c r="S221" s="21"/>
      <c r="T221" s="21"/>
      <c r="U221" s="21"/>
      <c r="V221" s="21"/>
      <c r="W221" s="57"/>
      <c r="X221" s="57"/>
      <c r="Y221" s="57"/>
      <c r="Z221" s="57"/>
    </row>
    <row r="222" ht="15.75" customHeight="1">
      <c r="A222" s="84"/>
      <c r="B222" s="84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21"/>
      <c r="S222" s="21"/>
      <c r="T222" s="21"/>
      <c r="U222" s="21"/>
      <c r="V222" s="21"/>
      <c r="W222" s="57"/>
      <c r="X222" s="57"/>
      <c r="Y222" s="57"/>
      <c r="Z222" s="57"/>
    </row>
    <row r="223" ht="15.75" customHeight="1">
      <c r="A223" s="84"/>
      <c r="B223" s="84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21"/>
      <c r="S223" s="21"/>
      <c r="T223" s="21"/>
      <c r="U223" s="21"/>
      <c r="V223" s="21"/>
      <c r="W223" s="57"/>
      <c r="X223" s="57"/>
      <c r="Y223" s="57"/>
      <c r="Z223" s="57"/>
    </row>
    <row r="224" ht="15.75" customHeight="1">
      <c r="A224" s="84"/>
      <c r="B224" s="84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21"/>
      <c r="S224" s="21"/>
      <c r="T224" s="21"/>
      <c r="U224" s="21"/>
      <c r="V224" s="21"/>
      <c r="W224" s="57"/>
      <c r="X224" s="57"/>
      <c r="Y224" s="57"/>
      <c r="Z224" s="57"/>
    </row>
    <row r="225" ht="15.75" customHeight="1">
      <c r="A225" s="84"/>
      <c r="B225" s="84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21"/>
      <c r="S225" s="21"/>
      <c r="T225" s="21"/>
      <c r="U225" s="21"/>
      <c r="V225" s="21"/>
      <c r="W225" s="57"/>
      <c r="X225" s="57"/>
      <c r="Y225" s="57"/>
      <c r="Z225" s="57"/>
    </row>
    <row r="226" ht="15.75" customHeight="1">
      <c r="A226" s="84"/>
      <c r="B226" s="84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21"/>
      <c r="S226" s="21"/>
      <c r="T226" s="21"/>
      <c r="U226" s="21"/>
      <c r="V226" s="21"/>
      <c r="W226" s="57"/>
      <c r="X226" s="57"/>
      <c r="Y226" s="57"/>
      <c r="Z226" s="57"/>
    </row>
    <row r="227" ht="15.75" customHeight="1">
      <c r="A227" s="84"/>
      <c r="B227" s="84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21"/>
      <c r="S227" s="21"/>
      <c r="T227" s="21"/>
      <c r="U227" s="21"/>
      <c r="V227" s="21"/>
      <c r="W227" s="57"/>
      <c r="X227" s="57"/>
      <c r="Y227" s="57"/>
      <c r="Z227" s="57"/>
    </row>
    <row r="228" ht="15.75" customHeight="1">
      <c r="A228" s="84"/>
      <c r="B228" s="84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21"/>
      <c r="S228" s="21"/>
      <c r="T228" s="21"/>
      <c r="U228" s="21"/>
      <c r="V228" s="21"/>
      <c r="W228" s="57"/>
      <c r="X228" s="57"/>
      <c r="Y228" s="57"/>
      <c r="Z228" s="57"/>
    </row>
    <row r="229" ht="15.75" customHeight="1">
      <c r="A229" s="84"/>
      <c r="B229" s="84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21"/>
      <c r="S229" s="21"/>
      <c r="T229" s="21"/>
      <c r="U229" s="21"/>
      <c r="V229" s="21"/>
      <c r="W229" s="57"/>
      <c r="X229" s="57"/>
      <c r="Y229" s="57"/>
      <c r="Z229" s="57"/>
    </row>
    <row r="230" ht="15.75" customHeight="1">
      <c r="A230" s="84"/>
      <c r="B230" s="84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21"/>
      <c r="S230" s="21"/>
      <c r="T230" s="21"/>
      <c r="U230" s="21"/>
      <c r="V230" s="21"/>
      <c r="W230" s="57"/>
      <c r="X230" s="57"/>
      <c r="Y230" s="57"/>
      <c r="Z230" s="57"/>
    </row>
    <row r="231" ht="15.75" customHeight="1">
      <c r="A231" s="84"/>
      <c r="B231" s="84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21"/>
      <c r="S231" s="21"/>
      <c r="T231" s="21"/>
      <c r="U231" s="21"/>
      <c r="V231" s="21"/>
      <c r="W231" s="57"/>
      <c r="X231" s="57"/>
      <c r="Y231" s="57"/>
      <c r="Z231" s="57"/>
    </row>
    <row r="232" ht="15.75" customHeight="1">
      <c r="A232" s="84"/>
      <c r="B232" s="84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21"/>
      <c r="S232" s="21"/>
      <c r="T232" s="21"/>
      <c r="U232" s="21"/>
      <c r="V232" s="21"/>
      <c r="W232" s="57"/>
      <c r="X232" s="57"/>
      <c r="Y232" s="57"/>
      <c r="Z232" s="57"/>
    </row>
    <row r="233" ht="15.75" customHeight="1">
      <c r="A233" s="84"/>
      <c r="B233" s="84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21"/>
      <c r="S233" s="21"/>
      <c r="T233" s="21"/>
      <c r="U233" s="21"/>
      <c r="V233" s="21"/>
      <c r="W233" s="57"/>
      <c r="X233" s="57"/>
      <c r="Y233" s="57"/>
      <c r="Z233" s="57"/>
    </row>
    <row r="234" ht="15.75" customHeight="1">
      <c r="A234" s="84"/>
      <c r="B234" s="84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21"/>
      <c r="S234" s="21"/>
      <c r="T234" s="21"/>
      <c r="U234" s="21"/>
      <c r="V234" s="21"/>
      <c r="W234" s="57"/>
      <c r="X234" s="57"/>
      <c r="Y234" s="57"/>
      <c r="Z234" s="57"/>
    </row>
    <row r="235" ht="15.75" customHeight="1">
      <c r="A235" s="84"/>
      <c r="B235" s="84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21"/>
      <c r="S235" s="21"/>
      <c r="T235" s="21"/>
      <c r="U235" s="21"/>
      <c r="V235" s="21"/>
      <c r="W235" s="57"/>
      <c r="X235" s="57"/>
      <c r="Y235" s="57"/>
      <c r="Z235" s="57"/>
    </row>
    <row r="236" ht="15.75" customHeight="1">
      <c r="A236" s="84"/>
      <c r="B236" s="84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21"/>
      <c r="S236" s="21"/>
      <c r="T236" s="21"/>
      <c r="U236" s="21"/>
      <c r="V236" s="21"/>
      <c r="W236" s="57"/>
      <c r="X236" s="57"/>
      <c r="Y236" s="57"/>
      <c r="Z236" s="57"/>
    </row>
    <row r="237" ht="15.75" customHeight="1">
      <c r="A237" s="84"/>
      <c r="B237" s="84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21"/>
      <c r="S237" s="21"/>
      <c r="T237" s="21"/>
      <c r="U237" s="21"/>
      <c r="V237" s="21"/>
      <c r="W237" s="57"/>
      <c r="X237" s="57"/>
      <c r="Y237" s="57"/>
      <c r="Z237" s="57"/>
    </row>
    <row r="238" ht="15.75" customHeight="1">
      <c r="A238" s="84"/>
      <c r="B238" s="84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21"/>
      <c r="S238" s="21"/>
      <c r="T238" s="21"/>
      <c r="U238" s="21"/>
      <c r="V238" s="21"/>
      <c r="W238" s="57"/>
      <c r="X238" s="57"/>
      <c r="Y238" s="57"/>
      <c r="Z238" s="57"/>
    </row>
    <row r="239" ht="15.75" customHeight="1">
      <c r="A239" s="84"/>
      <c r="B239" s="84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21"/>
      <c r="S239" s="21"/>
      <c r="T239" s="21"/>
      <c r="U239" s="21"/>
      <c r="V239" s="21"/>
      <c r="W239" s="57"/>
      <c r="X239" s="57"/>
      <c r="Y239" s="57"/>
      <c r="Z239" s="57"/>
    </row>
    <row r="240" ht="15.75" customHeight="1">
      <c r="A240" s="84"/>
      <c r="B240" s="84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21"/>
      <c r="S240" s="21"/>
      <c r="T240" s="21"/>
      <c r="U240" s="21"/>
      <c r="V240" s="21"/>
      <c r="W240" s="57"/>
      <c r="X240" s="57"/>
      <c r="Y240" s="57"/>
      <c r="Z240" s="57"/>
    </row>
    <row r="241" ht="15.75" customHeight="1">
      <c r="A241" s="84"/>
      <c r="B241" s="84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21"/>
      <c r="S241" s="21"/>
      <c r="T241" s="21"/>
      <c r="U241" s="21"/>
      <c r="V241" s="21"/>
      <c r="W241" s="57"/>
      <c r="X241" s="57"/>
      <c r="Y241" s="57"/>
      <c r="Z241" s="57"/>
    </row>
    <row r="242" ht="15.75" customHeight="1">
      <c r="A242" s="84"/>
      <c r="B242" s="84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21"/>
      <c r="S242" s="21"/>
      <c r="T242" s="21"/>
      <c r="U242" s="21"/>
      <c r="V242" s="21"/>
      <c r="W242" s="57"/>
      <c r="X242" s="57"/>
      <c r="Y242" s="57"/>
      <c r="Z242" s="57"/>
    </row>
    <row r="243" ht="15.75" customHeight="1">
      <c r="A243" s="84"/>
      <c r="B243" s="84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21"/>
      <c r="S243" s="21"/>
      <c r="T243" s="21"/>
      <c r="U243" s="21"/>
      <c r="V243" s="21"/>
      <c r="W243" s="57"/>
      <c r="X243" s="57"/>
      <c r="Y243" s="57"/>
      <c r="Z243" s="57"/>
    </row>
    <row r="244" ht="15.75" customHeight="1">
      <c r="A244" s="84"/>
      <c r="B244" s="84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21"/>
      <c r="S244" s="21"/>
      <c r="T244" s="21"/>
      <c r="U244" s="21"/>
      <c r="V244" s="21"/>
      <c r="W244" s="57"/>
      <c r="X244" s="57"/>
      <c r="Y244" s="57"/>
      <c r="Z244" s="57"/>
    </row>
    <row r="245" ht="15.75" customHeight="1">
      <c r="A245" s="84"/>
      <c r="B245" s="84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21"/>
      <c r="S245" s="21"/>
      <c r="T245" s="21"/>
      <c r="U245" s="21"/>
      <c r="V245" s="21"/>
      <c r="W245" s="57"/>
      <c r="X245" s="57"/>
      <c r="Y245" s="57"/>
      <c r="Z245" s="57"/>
    </row>
    <row r="246" ht="15.75" customHeight="1">
      <c r="A246" s="84"/>
      <c r="B246" s="84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21"/>
      <c r="S246" s="21"/>
      <c r="T246" s="21"/>
      <c r="U246" s="21"/>
      <c r="V246" s="21"/>
      <c r="W246" s="57"/>
      <c r="X246" s="57"/>
      <c r="Y246" s="57"/>
      <c r="Z246" s="57"/>
    </row>
    <row r="247" ht="15.75" customHeight="1">
      <c r="A247" s="84"/>
      <c r="B247" s="84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21"/>
      <c r="S247" s="21"/>
      <c r="T247" s="21"/>
      <c r="U247" s="21"/>
      <c r="V247" s="21"/>
      <c r="W247" s="57"/>
      <c r="X247" s="57"/>
      <c r="Y247" s="57"/>
      <c r="Z247" s="57"/>
    </row>
    <row r="248" ht="15.75" customHeight="1">
      <c r="A248" s="84"/>
      <c r="B248" s="84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21"/>
      <c r="S248" s="21"/>
      <c r="T248" s="21"/>
      <c r="U248" s="21"/>
      <c r="V248" s="21"/>
      <c r="W248" s="57"/>
      <c r="X248" s="57"/>
      <c r="Y248" s="57"/>
      <c r="Z248" s="57"/>
    </row>
    <row r="249" ht="15.75" customHeight="1">
      <c r="A249" s="84"/>
      <c r="B249" s="84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21"/>
      <c r="S249" s="21"/>
      <c r="T249" s="21"/>
      <c r="U249" s="21"/>
      <c r="V249" s="21"/>
      <c r="W249" s="57"/>
      <c r="X249" s="57"/>
      <c r="Y249" s="57"/>
      <c r="Z249" s="57"/>
    </row>
    <row r="250" ht="15.75" customHeight="1">
      <c r="A250" s="84"/>
      <c r="B250" s="84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21"/>
      <c r="S250" s="21"/>
      <c r="T250" s="21"/>
      <c r="U250" s="21"/>
      <c r="V250" s="21"/>
      <c r="W250" s="57"/>
      <c r="X250" s="57"/>
      <c r="Y250" s="57"/>
      <c r="Z250" s="57"/>
    </row>
    <row r="251" ht="15.75" customHeight="1">
      <c r="A251" s="84"/>
      <c r="B251" s="84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21"/>
      <c r="S251" s="21"/>
      <c r="T251" s="21"/>
      <c r="U251" s="21"/>
      <c r="V251" s="21"/>
      <c r="W251" s="57"/>
      <c r="X251" s="57"/>
      <c r="Y251" s="57"/>
      <c r="Z251" s="57"/>
    </row>
    <row r="252" ht="15.75" customHeight="1">
      <c r="A252" s="84"/>
      <c r="B252" s="84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21"/>
      <c r="S252" s="21"/>
      <c r="T252" s="21"/>
      <c r="U252" s="21"/>
      <c r="V252" s="21"/>
      <c r="W252" s="57"/>
      <c r="X252" s="57"/>
      <c r="Y252" s="57"/>
      <c r="Z252" s="57"/>
    </row>
    <row r="253" ht="15.75" customHeight="1">
      <c r="A253" s="84"/>
      <c r="B253" s="84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21"/>
      <c r="S253" s="21"/>
      <c r="T253" s="21"/>
      <c r="U253" s="21"/>
      <c r="V253" s="21"/>
      <c r="W253" s="57"/>
      <c r="X253" s="57"/>
      <c r="Y253" s="57"/>
      <c r="Z253" s="57"/>
    </row>
    <row r="254" ht="15.75" customHeight="1">
      <c r="A254" s="84"/>
      <c r="B254" s="84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21"/>
      <c r="S254" s="21"/>
      <c r="T254" s="21"/>
      <c r="U254" s="21"/>
      <c r="V254" s="21"/>
      <c r="W254" s="57"/>
      <c r="X254" s="57"/>
      <c r="Y254" s="57"/>
      <c r="Z254" s="57"/>
    </row>
    <row r="255" ht="15.75" customHeight="1">
      <c r="A255" s="84"/>
      <c r="B255" s="84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21"/>
      <c r="S255" s="21"/>
      <c r="T255" s="21"/>
      <c r="U255" s="21"/>
      <c r="V255" s="21"/>
      <c r="W255" s="57"/>
      <c r="X255" s="57"/>
      <c r="Y255" s="57"/>
      <c r="Z255" s="57"/>
    </row>
    <row r="256" ht="15.75" customHeight="1">
      <c r="A256" s="84"/>
      <c r="B256" s="84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21"/>
      <c r="S256" s="21"/>
      <c r="T256" s="21"/>
      <c r="U256" s="21"/>
      <c r="V256" s="21"/>
      <c r="W256" s="57"/>
      <c r="X256" s="57"/>
      <c r="Y256" s="57"/>
      <c r="Z256" s="57"/>
    </row>
    <row r="257" ht="15.75" customHeight="1">
      <c r="A257" s="84"/>
      <c r="B257" s="84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21"/>
      <c r="S257" s="21"/>
      <c r="T257" s="21"/>
      <c r="U257" s="21"/>
      <c r="V257" s="21"/>
      <c r="W257" s="57"/>
      <c r="X257" s="57"/>
      <c r="Y257" s="57"/>
      <c r="Z257" s="57"/>
    </row>
    <row r="258" ht="15.75" customHeight="1">
      <c r="A258" s="84"/>
      <c r="B258" s="84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21"/>
      <c r="S258" s="21"/>
      <c r="T258" s="21"/>
      <c r="U258" s="21"/>
      <c r="V258" s="21"/>
      <c r="W258" s="57"/>
      <c r="X258" s="57"/>
      <c r="Y258" s="57"/>
      <c r="Z258" s="57"/>
    </row>
    <row r="259" ht="15.75" customHeight="1">
      <c r="A259" s="84"/>
      <c r="B259" s="84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21"/>
      <c r="S259" s="21"/>
      <c r="T259" s="21"/>
      <c r="U259" s="21"/>
      <c r="V259" s="21"/>
      <c r="W259" s="57"/>
      <c r="X259" s="57"/>
      <c r="Y259" s="57"/>
      <c r="Z259" s="57"/>
    </row>
    <row r="260" ht="15.75" customHeight="1">
      <c r="A260" s="84"/>
      <c r="B260" s="84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21"/>
      <c r="S260" s="21"/>
      <c r="T260" s="21"/>
      <c r="U260" s="21"/>
      <c r="V260" s="21"/>
      <c r="W260" s="57"/>
      <c r="X260" s="57"/>
      <c r="Y260" s="57"/>
      <c r="Z260" s="57"/>
    </row>
    <row r="261" ht="15.75" customHeight="1">
      <c r="A261" s="84"/>
      <c r="B261" s="84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21"/>
      <c r="S261" s="21"/>
      <c r="T261" s="21"/>
      <c r="U261" s="21"/>
      <c r="V261" s="21"/>
      <c r="W261" s="57"/>
      <c r="X261" s="57"/>
      <c r="Y261" s="57"/>
      <c r="Z261" s="57"/>
    </row>
    <row r="262" ht="15.75" customHeight="1">
      <c r="A262" s="84"/>
      <c r="B262" s="84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21"/>
      <c r="S262" s="21"/>
      <c r="T262" s="21"/>
      <c r="U262" s="21"/>
      <c r="V262" s="21"/>
      <c r="W262" s="57"/>
      <c r="X262" s="57"/>
      <c r="Y262" s="57"/>
      <c r="Z262" s="57"/>
    </row>
    <row r="263" ht="15.75" customHeight="1">
      <c r="A263" s="84"/>
      <c r="B263" s="84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21"/>
      <c r="S263" s="21"/>
      <c r="T263" s="21"/>
      <c r="U263" s="21"/>
      <c r="V263" s="21"/>
      <c r="W263" s="57"/>
      <c r="X263" s="57"/>
      <c r="Y263" s="57"/>
      <c r="Z263" s="57"/>
    </row>
    <row r="264" ht="15.75" customHeight="1">
      <c r="A264" s="84"/>
      <c r="B264" s="84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21"/>
      <c r="S264" s="21"/>
      <c r="T264" s="21"/>
      <c r="U264" s="21"/>
      <c r="V264" s="21"/>
      <c r="W264" s="57"/>
      <c r="X264" s="57"/>
      <c r="Y264" s="57"/>
      <c r="Z264" s="57"/>
    </row>
    <row r="265" ht="15.75" customHeight="1">
      <c r="A265" s="84"/>
      <c r="B265" s="84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21"/>
      <c r="S265" s="21"/>
      <c r="T265" s="21"/>
      <c r="U265" s="21"/>
      <c r="V265" s="21"/>
      <c r="W265" s="57"/>
      <c r="X265" s="57"/>
      <c r="Y265" s="57"/>
      <c r="Z265" s="57"/>
    </row>
    <row r="266" ht="15.75" customHeight="1">
      <c r="A266" s="84"/>
      <c r="B266" s="84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21"/>
      <c r="S266" s="21"/>
      <c r="T266" s="21"/>
      <c r="U266" s="21"/>
      <c r="V266" s="21"/>
      <c r="W266" s="57"/>
      <c r="X266" s="57"/>
      <c r="Y266" s="57"/>
      <c r="Z266" s="57"/>
    </row>
    <row r="267" ht="15.75" customHeight="1">
      <c r="A267" s="84"/>
      <c r="B267" s="84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21"/>
      <c r="S267" s="21"/>
      <c r="T267" s="21"/>
      <c r="U267" s="21"/>
      <c r="V267" s="21"/>
      <c r="W267" s="57"/>
      <c r="X267" s="57"/>
      <c r="Y267" s="57"/>
      <c r="Z267" s="57"/>
    </row>
    <row r="268" ht="15.75" customHeight="1">
      <c r="A268" s="84"/>
      <c r="B268" s="84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21"/>
      <c r="S268" s="21"/>
      <c r="T268" s="21"/>
      <c r="U268" s="21"/>
      <c r="V268" s="21"/>
      <c r="W268" s="57"/>
      <c r="X268" s="57"/>
      <c r="Y268" s="57"/>
      <c r="Z268" s="57"/>
    </row>
    <row r="269" ht="15.75" customHeight="1">
      <c r="A269" s="84"/>
      <c r="B269" s="84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21"/>
      <c r="S269" s="21"/>
      <c r="T269" s="21"/>
      <c r="U269" s="21"/>
      <c r="V269" s="21"/>
      <c r="W269" s="57"/>
      <c r="X269" s="57"/>
      <c r="Y269" s="57"/>
      <c r="Z269" s="57"/>
    </row>
    <row r="270" ht="15.75" customHeight="1">
      <c r="A270" s="84"/>
      <c r="B270" s="84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21"/>
      <c r="S270" s="21"/>
      <c r="T270" s="21"/>
      <c r="U270" s="21"/>
      <c r="V270" s="21"/>
      <c r="W270" s="57"/>
      <c r="X270" s="57"/>
      <c r="Y270" s="57"/>
      <c r="Z270" s="57"/>
    </row>
    <row r="271" ht="15.75" customHeight="1">
      <c r="A271" s="84"/>
      <c r="B271" s="84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21"/>
      <c r="S271" s="21"/>
      <c r="T271" s="21"/>
      <c r="U271" s="21"/>
      <c r="V271" s="21"/>
      <c r="W271" s="57"/>
      <c r="X271" s="57"/>
      <c r="Y271" s="57"/>
      <c r="Z271" s="57"/>
    </row>
    <row r="272" ht="15.75" customHeight="1">
      <c r="A272" s="84"/>
      <c r="B272" s="84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21"/>
      <c r="S272" s="21"/>
      <c r="T272" s="21"/>
      <c r="U272" s="21"/>
      <c r="V272" s="21"/>
      <c r="W272" s="57"/>
      <c r="X272" s="57"/>
      <c r="Y272" s="57"/>
      <c r="Z272" s="57"/>
    </row>
    <row r="273" ht="15.75" customHeight="1">
      <c r="A273" s="84"/>
      <c r="B273" s="84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21"/>
      <c r="S273" s="21"/>
      <c r="T273" s="21"/>
      <c r="U273" s="21"/>
      <c r="V273" s="21"/>
      <c r="W273" s="57"/>
      <c r="X273" s="57"/>
      <c r="Y273" s="57"/>
      <c r="Z273" s="57"/>
    </row>
    <row r="274" ht="15.75" customHeight="1">
      <c r="A274" s="84"/>
      <c r="B274" s="84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21"/>
      <c r="S274" s="21"/>
      <c r="T274" s="21"/>
      <c r="U274" s="21"/>
      <c r="V274" s="21"/>
      <c r="W274" s="57"/>
      <c r="X274" s="57"/>
      <c r="Y274" s="57"/>
      <c r="Z274" s="57"/>
    </row>
    <row r="275" ht="15.75" customHeight="1">
      <c r="A275" s="84"/>
      <c r="B275" s="84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21"/>
      <c r="S275" s="21"/>
      <c r="T275" s="21"/>
      <c r="U275" s="21"/>
      <c r="V275" s="21"/>
      <c r="W275" s="57"/>
      <c r="X275" s="57"/>
      <c r="Y275" s="57"/>
      <c r="Z275" s="57"/>
    </row>
    <row r="276" ht="15.75" customHeight="1">
      <c r="A276" s="84"/>
      <c r="B276" s="84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21"/>
      <c r="S276" s="21"/>
      <c r="T276" s="21"/>
      <c r="U276" s="21"/>
      <c r="V276" s="21"/>
      <c r="W276" s="57"/>
      <c r="X276" s="57"/>
      <c r="Y276" s="57"/>
      <c r="Z276" s="57"/>
    </row>
    <row r="277" ht="15.75" customHeight="1">
      <c r="A277" s="84"/>
      <c r="B277" s="84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21"/>
      <c r="S277" s="21"/>
      <c r="T277" s="21"/>
      <c r="U277" s="21"/>
      <c r="V277" s="21"/>
      <c r="W277" s="57"/>
      <c r="X277" s="57"/>
      <c r="Y277" s="57"/>
      <c r="Z277" s="57"/>
    </row>
    <row r="278" ht="15.75" customHeight="1">
      <c r="A278" s="84"/>
      <c r="B278" s="84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21"/>
      <c r="S278" s="21"/>
      <c r="T278" s="21"/>
      <c r="U278" s="21"/>
      <c r="V278" s="21"/>
      <c r="W278" s="57"/>
      <c r="X278" s="57"/>
      <c r="Y278" s="57"/>
      <c r="Z278" s="57"/>
    </row>
    <row r="279" ht="15.75" customHeight="1">
      <c r="A279" s="84"/>
      <c r="B279" s="84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21"/>
      <c r="S279" s="21"/>
      <c r="T279" s="21"/>
      <c r="U279" s="21"/>
      <c r="V279" s="21"/>
      <c r="W279" s="57"/>
      <c r="X279" s="57"/>
      <c r="Y279" s="57"/>
      <c r="Z279" s="57"/>
    </row>
    <row r="280" ht="15.75" customHeight="1">
      <c r="A280" s="84"/>
      <c r="B280" s="84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21"/>
      <c r="S280" s="21"/>
      <c r="T280" s="21"/>
      <c r="U280" s="21"/>
      <c r="V280" s="21"/>
      <c r="W280" s="57"/>
      <c r="X280" s="57"/>
      <c r="Y280" s="57"/>
      <c r="Z280" s="57"/>
    </row>
    <row r="281" ht="15.75" customHeight="1">
      <c r="A281" s="84"/>
      <c r="B281" s="84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21"/>
      <c r="S281" s="21"/>
      <c r="T281" s="21"/>
      <c r="U281" s="21"/>
      <c r="V281" s="21"/>
      <c r="W281" s="57"/>
      <c r="X281" s="57"/>
      <c r="Y281" s="57"/>
      <c r="Z281" s="57"/>
    </row>
    <row r="282" ht="15.75" customHeight="1">
      <c r="A282" s="84"/>
      <c r="B282" s="84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21"/>
      <c r="S282" s="21"/>
      <c r="T282" s="21"/>
      <c r="U282" s="21"/>
      <c r="V282" s="21"/>
      <c r="W282" s="57"/>
      <c r="X282" s="57"/>
      <c r="Y282" s="57"/>
      <c r="Z282" s="57"/>
    </row>
    <row r="283" ht="15.75" customHeight="1">
      <c r="A283" s="84"/>
      <c r="B283" s="84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21"/>
      <c r="S283" s="21"/>
      <c r="T283" s="21"/>
      <c r="U283" s="21"/>
      <c r="V283" s="21"/>
      <c r="W283" s="57"/>
      <c r="X283" s="57"/>
      <c r="Y283" s="57"/>
      <c r="Z283" s="57"/>
    </row>
    <row r="284" ht="15.75" customHeight="1">
      <c r="A284" s="84"/>
      <c r="B284" s="84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21"/>
      <c r="S284" s="21"/>
      <c r="T284" s="21"/>
      <c r="U284" s="21"/>
      <c r="V284" s="21"/>
      <c r="W284" s="57"/>
      <c r="X284" s="57"/>
      <c r="Y284" s="57"/>
      <c r="Z284" s="57"/>
    </row>
    <row r="285" ht="15.75" customHeight="1">
      <c r="A285" s="84"/>
      <c r="B285" s="84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21"/>
      <c r="S285" s="21"/>
      <c r="T285" s="21"/>
      <c r="U285" s="21"/>
      <c r="V285" s="21"/>
      <c r="W285" s="57"/>
      <c r="X285" s="57"/>
      <c r="Y285" s="57"/>
      <c r="Z285" s="57"/>
    </row>
    <row r="286" ht="15.75" customHeight="1">
      <c r="A286" s="84"/>
      <c r="B286" s="84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21"/>
      <c r="S286" s="21"/>
      <c r="T286" s="21"/>
      <c r="U286" s="21"/>
      <c r="V286" s="21"/>
      <c r="W286" s="57"/>
      <c r="X286" s="57"/>
      <c r="Y286" s="57"/>
      <c r="Z286" s="57"/>
    </row>
    <row r="287" ht="15.75" customHeight="1">
      <c r="A287" s="84"/>
      <c r="B287" s="84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21"/>
      <c r="S287" s="21"/>
      <c r="T287" s="21"/>
      <c r="U287" s="21"/>
      <c r="V287" s="21"/>
      <c r="W287" s="57"/>
      <c r="X287" s="57"/>
      <c r="Y287" s="57"/>
      <c r="Z287" s="57"/>
    </row>
    <row r="288" ht="15.75" customHeight="1">
      <c r="A288" s="84"/>
      <c r="B288" s="84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21"/>
      <c r="S288" s="21"/>
      <c r="T288" s="21"/>
      <c r="U288" s="21"/>
      <c r="V288" s="21"/>
      <c r="W288" s="57"/>
      <c r="X288" s="57"/>
      <c r="Y288" s="57"/>
      <c r="Z288" s="57"/>
    </row>
    <row r="289" ht="15.75" customHeight="1">
      <c r="A289" s="84"/>
      <c r="B289" s="84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21"/>
      <c r="S289" s="21"/>
      <c r="T289" s="21"/>
      <c r="U289" s="21"/>
      <c r="V289" s="21"/>
      <c r="W289" s="57"/>
      <c r="X289" s="57"/>
      <c r="Y289" s="57"/>
      <c r="Z289" s="57"/>
    </row>
    <row r="290" ht="15.75" customHeight="1">
      <c r="A290" s="84"/>
      <c r="B290" s="84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21"/>
      <c r="S290" s="21"/>
      <c r="T290" s="21"/>
      <c r="U290" s="21"/>
      <c r="V290" s="21"/>
      <c r="W290" s="57"/>
      <c r="X290" s="57"/>
      <c r="Y290" s="57"/>
      <c r="Z290" s="57"/>
    </row>
    <row r="291" ht="15.75" customHeight="1">
      <c r="A291" s="84"/>
      <c r="B291" s="84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21"/>
      <c r="S291" s="21"/>
      <c r="T291" s="21"/>
      <c r="U291" s="21"/>
      <c r="V291" s="21"/>
      <c r="W291" s="57"/>
      <c r="X291" s="57"/>
      <c r="Y291" s="57"/>
      <c r="Z291" s="57"/>
    </row>
    <row r="292" ht="15.75" customHeight="1">
      <c r="A292" s="84"/>
      <c r="B292" s="84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21"/>
      <c r="S292" s="21"/>
      <c r="T292" s="21"/>
      <c r="U292" s="21"/>
      <c r="V292" s="21"/>
      <c r="W292" s="57"/>
      <c r="X292" s="57"/>
      <c r="Y292" s="57"/>
      <c r="Z292" s="57"/>
    </row>
    <row r="293" ht="15.75" customHeight="1">
      <c r="A293" s="84"/>
      <c r="B293" s="84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21"/>
      <c r="S293" s="21"/>
      <c r="T293" s="21"/>
      <c r="U293" s="21"/>
      <c r="V293" s="21"/>
      <c r="W293" s="57"/>
      <c r="X293" s="57"/>
      <c r="Y293" s="57"/>
      <c r="Z293" s="57"/>
    </row>
    <row r="294" ht="15.75" customHeight="1">
      <c r="A294" s="84"/>
      <c r="B294" s="84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21"/>
      <c r="S294" s="21"/>
      <c r="T294" s="21"/>
      <c r="U294" s="21"/>
      <c r="V294" s="21"/>
      <c r="W294" s="57"/>
      <c r="X294" s="57"/>
      <c r="Y294" s="57"/>
      <c r="Z294" s="57"/>
    </row>
    <row r="295" ht="15.75" customHeight="1">
      <c r="A295" s="84"/>
      <c r="B295" s="84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21"/>
      <c r="S295" s="21"/>
      <c r="T295" s="21"/>
      <c r="U295" s="21"/>
      <c r="V295" s="21"/>
      <c r="W295" s="57"/>
      <c r="X295" s="57"/>
      <c r="Y295" s="57"/>
      <c r="Z295" s="57"/>
    </row>
    <row r="296" ht="15.75" customHeight="1">
      <c r="A296" s="84"/>
      <c r="B296" s="84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21"/>
      <c r="S296" s="21"/>
      <c r="T296" s="21"/>
      <c r="U296" s="21"/>
      <c r="V296" s="21"/>
      <c r="W296" s="57"/>
      <c r="X296" s="57"/>
      <c r="Y296" s="57"/>
      <c r="Z296" s="57"/>
    </row>
    <row r="297" ht="15.75" customHeight="1">
      <c r="A297" s="84"/>
      <c r="B297" s="84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21"/>
      <c r="S297" s="21"/>
      <c r="T297" s="21"/>
      <c r="U297" s="21"/>
      <c r="V297" s="21"/>
      <c r="W297" s="57"/>
      <c r="X297" s="57"/>
      <c r="Y297" s="57"/>
      <c r="Z297" s="57"/>
    </row>
    <row r="298" ht="15.75" customHeight="1">
      <c r="A298" s="84"/>
      <c r="B298" s="84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21"/>
      <c r="S298" s="21"/>
      <c r="T298" s="21"/>
      <c r="U298" s="21"/>
      <c r="V298" s="21"/>
      <c r="W298" s="57"/>
      <c r="X298" s="57"/>
      <c r="Y298" s="57"/>
      <c r="Z298" s="57"/>
    </row>
    <row r="299" ht="15.75" customHeight="1">
      <c r="A299" s="84"/>
      <c r="B299" s="84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21"/>
      <c r="S299" s="21"/>
      <c r="T299" s="21"/>
      <c r="U299" s="21"/>
      <c r="V299" s="21"/>
      <c r="W299" s="57"/>
      <c r="X299" s="57"/>
      <c r="Y299" s="57"/>
      <c r="Z299" s="57"/>
    </row>
    <row r="300" ht="15.75" customHeight="1">
      <c r="A300" s="84"/>
      <c r="B300" s="84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21"/>
      <c r="S300" s="21"/>
      <c r="T300" s="21"/>
      <c r="U300" s="21"/>
      <c r="V300" s="21"/>
      <c r="W300" s="57"/>
      <c r="X300" s="57"/>
      <c r="Y300" s="57"/>
      <c r="Z300" s="57"/>
    </row>
    <row r="301" ht="15.75" customHeight="1">
      <c r="A301" s="84"/>
      <c r="B301" s="84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21"/>
      <c r="S301" s="21"/>
      <c r="T301" s="21"/>
      <c r="U301" s="21"/>
      <c r="V301" s="21"/>
      <c r="W301" s="57"/>
      <c r="X301" s="57"/>
      <c r="Y301" s="57"/>
      <c r="Z301" s="57"/>
    </row>
    <row r="302" ht="15.75" customHeight="1">
      <c r="A302" s="84"/>
      <c r="B302" s="84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21"/>
      <c r="S302" s="21"/>
      <c r="T302" s="21"/>
      <c r="U302" s="21"/>
      <c r="V302" s="21"/>
      <c r="W302" s="57"/>
      <c r="X302" s="57"/>
      <c r="Y302" s="57"/>
      <c r="Z302" s="57"/>
    </row>
    <row r="303" ht="15.75" customHeight="1">
      <c r="A303" s="84"/>
      <c r="B303" s="84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21"/>
      <c r="S303" s="21"/>
      <c r="T303" s="21"/>
      <c r="U303" s="21"/>
      <c r="V303" s="21"/>
      <c r="W303" s="57"/>
      <c r="X303" s="57"/>
      <c r="Y303" s="57"/>
      <c r="Z303" s="57"/>
    </row>
    <row r="304" ht="15.75" customHeight="1">
      <c r="A304" s="84"/>
      <c r="B304" s="84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21"/>
      <c r="S304" s="21"/>
      <c r="T304" s="21"/>
      <c r="U304" s="21"/>
      <c r="V304" s="21"/>
      <c r="W304" s="57"/>
      <c r="X304" s="57"/>
      <c r="Y304" s="57"/>
      <c r="Z304" s="57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8">
    <mergeCell ref="A1:O1"/>
    <mergeCell ref="B2:D2"/>
    <mergeCell ref="E2:G2"/>
    <mergeCell ref="H2:J2"/>
    <mergeCell ref="K2:M2"/>
    <mergeCell ref="N2:P2"/>
    <mergeCell ref="Q2:S2"/>
    <mergeCell ref="T2:V2"/>
  </mergeCells>
  <conditionalFormatting sqref="B4:V104">
    <cfRule type="colorScale" priority="1">
      <colorScale>
        <cfvo type="formula" val="0"/>
        <cfvo type="formula" val="1"/>
        <cfvo type="formula" val="2"/>
        <color rgb="FFFF0000"/>
        <color rgb="FFFFEB84"/>
        <color rgb="FF0070C0"/>
      </colorScale>
    </cfRule>
  </conditionalFormatting>
  <dataValidations>
    <dataValidation type="list" allowBlank="1" showErrorMessage="1" sqref="B4:V104">
      <formula1>formularios!$B$2:$B$4</formula1>
    </dataValidation>
  </dataValidations>
  <printOptions/>
  <pageMargins bottom="0.787401575" footer="0.0" header="0.0" left="0.511811024" right="0.511811024" top="0.7874015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5.57"/>
    <col customWidth="1" min="3" max="3" width="15.71"/>
    <col customWidth="1" min="4" max="4" width="12.86"/>
    <col customWidth="1" min="5" max="24" width="16.86"/>
  </cols>
  <sheetData>
    <row r="1" ht="39.0" customHeight="1">
      <c r="A1" s="85" t="s">
        <v>138</v>
      </c>
      <c r="E1" s="86"/>
      <c r="F1" s="86"/>
      <c r="G1" s="86"/>
      <c r="H1" s="86"/>
      <c r="I1" s="86"/>
      <c r="J1" s="86"/>
      <c r="K1" s="86"/>
      <c r="L1" s="86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87" t="s">
        <v>134</v>
      </c>
      <c r="B2" s="87" t="s">
        <v>139</v>
      </c>
      <c r="C2" s="87" t="s">
        <v>140</v>
      </c>
      <c r="D2" s="87" t="s">
        <v>141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>
      <c r="A3" s="9" t="str">
        <f t="array" ref="A3:A102">IF('1_Cadastramento'!$A$3:A104="","",'1_Cadastramento'!$A$3:A104)</f>
        <v>ACT- MTM</v>
      </c>
      <c r="B3" s="10" t="s">
        <v>142</v>
      </c>
      <c r="C3" s="10" t="s">
        <v>142</v>
      </c>
      <c r="D3" s="10" t="s">
        <v>142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9" t="s">
        <v>12</v>
      </c>
      <c r="B4" s="10" t="s">
        <v>142</v>
      </c>
      <c r="C4" s="10" t="s">
        <v>142</v>
      </c>
      <c r="D4" s="10" t="s">
        <v>142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9" t="s">
        <v>16</v>
      </c>
      <c r="B5" s="10" t="s">
        <v>142</v>
      </c>
      <c r="C5" s="10" t="s">
        <v>142</v>
      </c>
      <c r="D5" s="10" t="s">
        <v>142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9" t="s">
        <v>20</v>
      </c>
      <c r="B6" s="10" t="s">
        <v>142</v>
      </c>
      <c r="C6" s="10" t="s">
        <v>142</v>
      </c>
      <c r="D6" s="10" t="s">
        <v>142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9" t="s">
        <v>22</v>
      </c>
      <c r="B7" s="10" t="s">
        <v>142</v>
      </c>
      <c r="C7" s="10" t="s">
        <v>142</v>
      </c>
      <c r="D7" s="10" t="s">
        <v>142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9" t="s">
        <v>24</v>
      </c>
      <c r="B8" s="10" t="s">
        <v>142</v>
      </c>
      <c r="C8" s="10" t="s">
        <v>142</v>
      </c>
      <c r="D8" s="10" t="s">
        <v>142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9" t="s">
        <v>27</v>
      </c>
      <c r="B9" s="10" t="s">
        <v>142</v>
      </c>
      <c r="C9" s="10" t="s">
        <v>142</v>
      </c>
      <c r="D9" s="10" t="s">
        <v>142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9" t="s">
        <v>29</v>
      </c>
      <c r="B10" s="10" t="s">
        <v>142</v>
      </c>
      <c r="C10" s="10" t="s">
        <v>142</v>
      </c>
      <c r="D10" s="10" t="s">
        <v>142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9" t="s">
        <v>31</v>
      </c>
      <c r="B11" s="10" t="s">
        <v>142</v>
      </c>
      <c r="C11" s="10" t="s">
        <v>142</v>
      </c>
      <c r="D11" s="10" t="s">
        <v>142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9" t="s">
        <v>33</v>
      </c>
      <c r="B12" s="10" t="s">
        <v>142</v>
      </c>
      <c r="C12" s="10" t="s">
        <v>142</v>
      </c>
      <c r="D12" s="10" t="s">
        <v>142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9" t="s">
        <v>35</v>
      </c>
      <c r="B13" s="10" t="s">
        <v>142</v>
      </c>
      <c r="C13" s="10" t="s">
        <v>142</v>
      </c>
      <c r="D13" s="10" t="s">
        <v>142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9" t="s">
        <v>37</v>
      </c>
      <c r="B14" s="10" t="s">
        <v>142</v>
      </c>
      <c r="C14" s="10" t="s">
        <v>142</v>
      </c>
      <c r="D14" s="10" t="s">
        <v>142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9" t="s">
        <v>39</v>
      </c>
      <c r="B15" s="10" t="s">
        <v>142</v>
      </c>
      <c r="C15" s="10" t="s">
        <v>142</v>
      </c>
      <c r="D15" s="10" t="s">
        <v>142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9" t="s">
        <v>41</v>
      </c>
      <c r="B16" s="10" t="s">
        <v>142</v>
      </c>
      <c r="C16" s="10" t="s">
        <v>142</v>
      </c>
      <c r="D16" s="10" t="s">
        <v>142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9" t="s">
        <v>43</v>
      </c>
      <c r="B17" s="10" t="s">
        <v>142</v>
      </c>
      <c r="C17" s="10" t="s">
        <v>142</v>
      </c>
      <c r="D17" s="10" t="s">
        <v>142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9" t="s">
        <v>45</v>
      </c>
      <c r="B18" s="10" t="s">
        <v>142</v>
      </c>
      <c r="C18" s="10" t="s">
        <v>142</v>
      </c>
      <c r="D18" s="10" t="s">
        <v>142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9" t="s">
        <v>47</v>
      </c>
      <c r="B19" s="10" t="s">
        <v>142</v>
      </c>
      <c r="C19" s="10" t="s">
        <v>142</v>
      </c>
      <c r="D19" s="10" t="s">
        <v>142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9" t="s">
        <v>49</v>
      </c>
      <c r="B20" s="10" t="s">
        <v>142</v>
      </c>
      <c r="C20" s="10" t="s">
        <v>142</v>
      </c>
      <c r="D20" s="10" t="s">
        <v>142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9" t="s">
        <v>50</v>
      </c>
      <c r="B21" s="10" t="s">
        <v>142</v>
      </c>
      <c r="C21" s="10" t="s">
        <v>142</v>
      </c>
      <c r="D21" s="10" t="s">
        <v>142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9" t="s">
        <v>51</v>
      </c>
      <c r="B22" s="10" t="s">
        <v>142</v>
      </c>
      <c r="C22" s="10" t="s">
        <v>142</v>
      </c>
      <c r="D22" s="10" t="s">
        <v>142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9" t="s">
        <v>52</v>
      </c>
      <c r="B23" s="10" t="s">
        <v>142</v>
      </c>
      <c r="C23" s="10" t="s">
        <v>142</v>
      </c>
      <c r="D23" s="10" t="s">
        <v>142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9" t="s">
        <v>53</v>
      </c>
      <c r="B24" s="10" t="s">
        <v>142</v>
      </c>
      <c r="C24" s="10" t="s">
        <v>142</v>
      </c>
      <c r="D24" s="10" t="s">
        <v>142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9" t="s">
        <v>54</v>
      </c>
      <c r="B25" s="10" t="s">
        <v>142</v>
      </c>
      <c r="C25" s="10" t="s">
        <v>142</v>
      </c>
      <c r="D25" s="10" t="s">
        <v>142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9" t="s">
        <v>55</v>
      </c>
      <c r="B26" s="10" t="s">
        <v>142</v>
      </c>
      <c r="C26" s="10" t="s">
        <v>142</v>
      </c>
      <c r="D26" s="10" t="s">
        <v>142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9" t="s">
        <v>56</v>
      </c>
      <c r="B27" s="10" t="s">
        <v>142</v>
      </c>
      <c r="C27" s="10" t="s">
        <v>142</v>
      </c>
      <c r="D27" s="10" t="s">
        <v>142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9" t="s">
        <v>57</v>
      </c>
      <c r="B28" s="10" t="s">
        <v>142</v>
      </c>
      <c r="C28" s="10" t="s">
        <v>142</v>
      </c>
      <c r="D28" s="10" t="s">
        <v>142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9" t="s">
        <v>58</v>
      </c>
      <c r="B29" s="10" t="s">
        <v>142</v>
      </c>
      <c r="C29" s="10" t="s">
        <v>142</v>
      </c>
      <c r="D29" s="10" t="s">
        <v>142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9" t="s">
        <v>59</v>
      </c>
      <c r="B30" s="10" t="s">
        <v>142</v>
      </c>
      <c r="C30" s="10" t="s">
        <v>142</v>
      </c>
      <c r="D30" s="10" t="s">
        <v>142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9" t="s">
        <v>60</v>
      </c>
      <c r="B31" s="10" t="s">
        <v>142</v>
      </c>
      <c r="C31" s="10" t="s">
        <v>142</v>
      </c>
      <c r="D31" s="10" t="s">
        <v>142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9" t="s">
        <v>61</v>
      </c>
      <c r="B32" s="10" t="s">
        <v>142</v>
      </c>
      <c r="C32" s="10" t="s">
        <v>142</v>
      </c>
      <c r="D32" s="10" t="s">
        <v>142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9" t="s">
        <v>62</v>
      </c>
      <c r="B33" s="10" t="s">
        <v>142</v>
      </c>
      <c r="C33" s="10" t="s">
        <v>142</v>
      </c>
      <c r="D33" s="10" t="s">
        <v>142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9" t="s">
        <v>63</v>
      </c>
      <c r="B34" s="10" t="s">
        <v>142</v>
      </c>
      <c r="C34" s="10" t="s">
        <v>142</v>
      </c>
      <c r="D34" s="10" t="s">
        <v>142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9" t="s">
        <v>64</v>
      </c>
      <c r="B35" s="10" t="s">
        <v>142</v>
      </c>
      <c r="C35" s="10" t="s">
        <v>142</v>
      </c>
      <c r="D35" s="10" t="s">
        <v>142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9" t="s">
        <v>65</v>
      </c>
      <c r="B36" s="10" t="s">
        <v>142</v>
      </c>
      <c r="C36" s="10" t="s">
        <v>142</v>
      </c>
      <c r="D36" s="10" t="s">
        <v>142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9" t="s">
        <v>66</v>
      </c>
      <c r="B37" s="10" t="s">
        <v>142</v>
      </c>
      <c r="C37" s="10" t="s">
        <v>142</v>
      </c>
      <c r="D37" s="10" t="s">
        <v>142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9" t="s">
        <v>67</v>
      </c>
      <c r="B38" s="10" t="s">
        <v>142</v>
      </c>
      <c r="C38" s="10" t="s">
        <v>142</v>
      </c>
      <c r="D38" s="10" t="s">
        <v>142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9" t="s">
        <v>68</v>
      </c>
      <c r="B39" s="10" t="s">
        <v>142</v>
      </c>
      <c r="C39" s="10" t="s">
        <v>142</v>
      </c>
      <c r="D39" s="10" t="s">
        <v>142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9" t="s">
        <v>69</v>
      </c>
      <c r="B40" s="10" t="s">
        <v>142</v>
      </c>
      <c r="C40" s="10" t="s">
        <v>142</v>
      </c>
      <c r="D40" s="10" t="s">
        <v>142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9" t="s">
        <v>70</v>
      </c>
      <c r="B41" s="10" t="s">
        <v>142</v>
      </c>
      <c r="C41" s="10" t="s">
        <v>142</v>
      </c>
      <c r="D41" s="10" t="s">
        <v>142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9" t="s">
        <v>71</v>
      </c>
      <c r="B42" s="10" t="s">
        <v>142</v>
      </c>
      <c r="C42" s="10" t="s">
        <v>142</v>
      </c>
      <c r="D42" s="10" t="s">
        <v>142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9" t="s">
        <v>72</v>
      </c>
      <c r="B43" s="10" t="s">
        <v>142</v>
      </c>
      <c r="C43" s="10" t="s">
        <v>142</v>
      </c>
      <c r="D43" s="10" t="s">
        <v>142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9" t="s">
        <v>73</v>
      </c>
      <c r="B44" s="10" t="s">
        <v>142</v>
      </c>
      <c r="C44" s="10" t="s">
        <v>142</v>
      </c>
      <c r="D44" s="10" t="s">
        <v>142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9" t="s">
        <v>121</v>
      </c>
      <c r="B45" s="10"/>
      <c r="C45" s="10"/>
      <c r="D45" s="10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9" t="s">
        <v>121</v>
      </c>
      <c r="B46" s="10"/>
      <c r="C46" s="10"/>
      <c r="D46" s="10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9" t="s">
        <v>121</v>
      </c>
      <c r="B47" s="10"/>
      <c r="C47" s="10"/>
      <c r="D47" s="10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9" t="s">
        <v>121</v>
      </c>
      <c r="B48" s="10"/>
      <c r="C48" s="10"/>
      <c r="D48" s="10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9" t="s">
        <v>121</v>
      </c>
      <c r="B49" s="10"/>
      <c r="C49" s="10"/>
      <c r="D49" s="10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9" t="s">
        <v>121</v>
      </c>
      <c r="B50" s="10"/>
      <c r="C50" s="10"/>
      <c r="D50" s="10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9" t="s">
        <v>121</v>
      </c>
      <c r="B51" s="10"/>
      <c r="C51" s="10"/>
      <c r="D51" s="10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9" t="s">
        <v>121</v>
      </c>
      <c r="B52" s="10"/>
      <c r="C52" s="10"/>
      <c r="D52" s="10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9" t="s">
        <v>121</v>
      </c>
      <c r="B53" s="10"/>
      <c r="C53" s="10"/>
      <c r="D53" s="10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9" t="s">
        <v>121</v>
      </c>
      <c r="B54" s="10"/>
      <c r="C54" s="10"/>
      <c r="D54" s="10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9" t="s">
        <v>121</v>
      </c>
      <c r="B55" s="10"/>
      <c r="C55" s="10"/>
      <c r="D55" s="10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9" t="s">
        <v>121</v>
      </c>
      <c r="B56" s="10"/>
      <c r="C56" s="10"/>
      <c r="D56" s="10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9" t="s">
        <v>121</v>
      </c>
      <c r="B57" s="10"/>
      <c r="C57" s="10"/>
      <c r="D57" s="10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9" t="s">
        <v>121</v>
      </c>
      <c r="B58" s="10"/>
      <c r="C58" s="10"/>
      <c r="D58" s="10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9" t="s">
        <v>121</v>
      </c>
      <c r="B59" s="10"/>
      <c r="C59" s="10"/>
      <c r="D59" s="10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9" t="s">
        <v>121</v>
      </c>
      <c r="B60" s="10"/>
      <c r="C60" s="10"/>
      <c r="D60" s="10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9" t="s">
        <v>121</v>
      </c>
      <c r="B61" s="10"/>
      <c r="C61" s="10"/>
      <c r="D61" s="10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9" t="s">
        <v>121</v>
      </c>
      <c r="B62" s="10"/>
      <c r="C62" s="10"/>
      <c r="D62" s="10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9" t="s">
        <v>121</v>
      </c>
      <c r="B63" s="10"/>
      <c r="C63" s="10"/>
      <c r="D63" s="10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9" t="s">
        <v>121</v>
      </c>
      <c r="B64" s="10"/>
      <c r="C64" s="10"/>
      <c r="D64" s="10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9" t="s">
        <v>121</v>
      </c>
      <c r="B65" s="10"/>
      <c r="C65" s="10"/>
      <c r="D65" s="10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9" t="s">
        <v>121</v>
      </c>
      <c r="B66" s="10"/>
      <c r="C66" s="10"/>
      <c r="D66" s="10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9" t="s">
        <v>121</v>
      </c>
      <c r="B67" s="10"/>
      <c r="C67" s="10"/>
      <c r="D67" s="10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9" t="s">
        <v>121</v>
      </c>
      <c r="B68" s="10"/>
      <c r="C68" s="10"/>
      <c r="D68" s="10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9" t="s">
        <v>121</v>
      </c>
      <c r="B69" s="10"/>
      <c r="C69" s="10"/>
      <c r="D69" s="10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9" t="s">
        <v>121</v>
      </c>
      <c r="B70" s="10"/>
      <c r="C70" s="10"/>
      <c r="D70" s="10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9" t="s">
        <v>121</v>
      </c>
      <c r="B71" s="10"/>
      <c r="C71" s="10"/>
      <c r="D71" s="10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9" t="s">
        <v>121</v>
      </c>
      <c r="B72" s="10"/>
      <c r="C72" s="10"/>
      <c r="D72" s="10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9" t="s">
        <v>121</v>
      </c>
      <c r="B73" s="10"/>
      <c r="C73" s="10"/>
      <c r="D73" s="10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9" t="s">
        <v>121</v>
      </c>
      <c r="B74" s="10"/>
      <c r="C74" s="10"/>
      <c r="D74" s="10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9" t="s">
        <v>121</v>
      </c>
      <c r="B75" s="10"/>
      <c r="C75" s="10"/>
      <c r="D75" s="10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9" t="s">
        <v>121</v>
      </c>
      <c r="B76" s="10"/>
      <c r="C76" s="10"/>
      <c r="D76" s="10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9" t="s">
        <v>121</v>
      </c>
      <c r="B77" s="10"/>
      <c r="C77" s="10"/>
      <c r="D77" s="10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9" t="s">
        <v>121</v>
      </c>
      <c r="B78" s="10"/>
      <c r="C78" s="10"/>
      <c r="D78" s="10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9" t="s">
        <v>121</v>
      </c>
      <c r="B79" s="10"/>
      <c r="C79" s="10"/>
      <c r="D79" s="10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9" t="s">
        <v>121</v>
      </c>
      <c r="B80" s="10"/>
      <c r="C80" s="10"/>
      <c r="D80" s="10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9" t="s">
        <v>121</v>
      </c>
      <c r="B81" s="10"/>
      <c r="C81" s="10"/>
      <c r="D81" s="10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9" t="s">
        <v>121</v>
      </c>
      <c r="B82" s="10"/>
      <c r="C82" s="10"/>
      <c r="D82" s="1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9" t="s">
        <v>121</v>
      </c>
      <c r="B83" s="10"/>
      <c r="C83" s="10"/>
      <c r="D83" s="10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9" t="s">
        <v>121</v>
      </c>
      <c r="B84" s="10"/>
      <c r="C84" s="10"/>
      <c r="D84" s="10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9" t="s">
        <v>121</v>
      </c>
      <c r="B85" s="10"/>
      <c r="C85" s="10"/>
      <c r="D85" s="10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9" t="s">
        <v>121</v>
      </c>
      <c r="B86" s="10"/>
      <c r="C86" s="10"/>
      <c r="D86" s="10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9" t="s">
        <v>121</v>
      </c>
      <c r="B87" s="10"/>
      <c r="C87" s="10"/>
      <c r="D87" s="10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9" t="s">
        <v>121</v>
      </c>
      <c r="B88" s="10"/>
      <c r="C88" s="10"/>
      <c r="D88" s="10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9" t="s">
        <v>121</v>
      </c>
      <c r="B89" s="10"/>
      <c r="C89" s="10"/>
      <c r="D89" s="10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9" t="s">
        <v>121</v>
      </c>
      <c r="B90" s="10"/>
      <c r="C90" s="10"/>
      <c r="D90" s="10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9" t="s">
        <v>121</v>
      </c>
      <c r="B91" s="10"/>
      <c r="C91" s="10"/>
      <c r="D91" s="10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9" t="s">
        <v>121</v>
      </c>
      <c r="B92" s="10"/>
      <c r="C92" s="10"/>
      <c r="D92" s="10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9" t="s">
        <v>121</v>
      </c>
      <c r="B93" s="10"/>
      <c r="C93" s="10"/>
      <c r="D93" s="10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9" t="s">
        <v>121</v>
      </c>
      <c r="B94" s="10"/>
      <c r="C94" s="10"/>
      <c r="D94" s="10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9" t="s">
        <v>121</v>
      </c>
      <c r="B95" s="10"/>
      <c r="C95" s="10"/>
      <c r="D95" s="10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9" t="s">
        <v>121</v>
      </c>
      <c r="B96" s="10"/>
      <c r="C96" s="10"/>
      <c r="D96" s="10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9" t="s">
        <v>121</v>
      </c>
      <c r="B97" s="10"/>
      <c r="C97" s="10"/>
      <c r="D97" s="10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9" t="s">
        <v>121</v>
      </c>
      <c r="B98" s="10"/>
      <c r="C98" s="10"/>
      <c r="D98" s="10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9" t="s">
        <v>121</v>
      </c>
      <c r="B99" s="10"/>
      <c r="C99" s="10"/>
      <c r="D99" s="10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9" t="s">
        <v>121</v>
      </c>
      <c r="B100" s="10"/>
      <c r="C100" s="10"/>
      <c r="D100" s="10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9" t="s">
        <v>121</v>
      </c>
      <c r="B101" s="10"/>
      <c r="C101" s="10"/>
      <c r="D101" s="10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9" t="s">
        <v>121</v>
      </c>
      <c r="B102" s="10"/>
      <c r="C102" s="10"/>
      <c r="D102" s="10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89" t="str">
        <f>IF('1_Cadastramento'!$A$103="","",'1_Cadastramento'!$A$103)</f>
        <v/>
      </c>
      <c r="B103" s="10"/>
      <c r="C103" s="10"/>
      <c r="D103" s="1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5.75" customHeight="1">
      <c r="A104" s="38"/>
      <c r="B104" s="57"/>
      <c r="C104" s="57"/>
      <c r="D104" s="57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38"/>
      <c r="B105" s="57"/>
      <c r="C105" s="57"/>
      <c r="D105" s="57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38"/>
      <c r="B106" s="57"/>
      <c r="C106" s="57"/>
      <c r="D106" s="57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38"/>
      <c r="B107" s="57"/>
      <c r="C107" s="57"/>
      <c r="D107" s="57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38"/>
      <c r="B108" s="57"/>
      <c r="C108" s="57"/>
      <c r="D108" s="57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38"/>
      <c r="B109" s="57"/>
      <c r="C109" s="57"/>
      <c r="D109" s="57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38"/>
      <c r="B110" s="57"/>
      <c r="C110" s="57"/>
      <c r="D110" s="57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38"/>
      <c r="B111" s="57"/>
      <c r="C111" s="57"/>
      <c r="D111" s="57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38"/>
      <c r="B112" s="57"/>
      <c r="C112" s="57"/>
      <c r="D112" s="57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38"/>
      <c r="B113" s="57"/>
      <c r="C113" s="57"/>
      <c r="D113" s="57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38"/>
      <c r="B114" s="57"/>
      <c r="C114" s="57"/>
      <c r="D114" s="57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38"/>
      <c r="B115" s="57"/>
      <c r="C115" s="57"/>
      <c r="D115" s="57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38"/>
      <c r="B116" s="57"/>
      <c r="C116" s="57"/>
      <c r="D116" s="57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38"/>
      <c r="B117" s="57"/>
      <c r="C117" s="57"/>
      <c r="D117" s="57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38"/>
      <c r="B118" s="57"/>
      <c r="C118" s="57"/>
      <c r="D118" s="57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38"/>
      <c r="B119" s="57"/>
      <c r="C119" s="57"/>
      <c r="D119" s="57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38"/>
      <c r="B120" s="57"/>
      <c r="C120" s="57"/>
      <c r="D120" s="57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38"/>
      <c r="B121" s="57"/>
      <c r="C121" s="57"/>
      <c r="D121" s="57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38"/>
      <c r="B122" s="57"/>
      <c r="C122" s="57"/>
      <c r="D122" s="57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38"/>
      <c r="B123" s="57"/>
      <c r="C123" s="57"/>
      <c r="D123" s="57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38"/>
      <c r="B124" s="57"/>
      <c r="C124" s="57"/>
      <c r="D124" s="57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38"/>
      <c r="B125" s="57"/>
      <c r="C125" s="57"/>
      <c r="D125" s="57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38"/>
      <c r="B126" s="57"/>
      <c r="C126" s="57"/>
      <c r="D126" s="57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38"/>
      <c r="B127" s="57"/>
      <c r="C127" s="57"/>
      <c r="D127" s="57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38"/>
      <c r="B128" s="57"/>
      <c r="C128" s="57"/>
      <c r="D128" s="57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38"/>
      <c r="B129" s="57"/>
      <c r="C129" s="57"/>
      <c r="D129" s="57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38"/>
      <c r="B130" s="57"/>
      <c r="C130" s="57"/>
      <c r="D130" s="57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38"/>
      <c r="B131" s="57"/>
      <c r="C131" s="57"/>
      <c r="D131" s="57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38"/>
      <c r="B132" s="57"/>
      <c r="C132" s="57"/>
      <c r="D132" s="57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38"/>
      <c r="B133" s="57"/>
      <c r="C133" s="57"/>
      <c r="D133" s="57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38"/>
      <c r="B134" s="57"/>
      <c r="C134" s="57"/>
      <c r="D134" s="57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38"/>
      <c r="B135" s="57"/>
      <c r="C135" s="57"/>
      <c r="D135" s="57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38"/>
      <c r="B136" s="57"/>
      <c r="C136" s="57"/>
      <c r="D136" s="57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38"/>
      <c r="B137" s="57"/>
      <c r="C137" s="57"/>
      <c r="D137" s="57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38"/>
      <c r="B138" s="57"/>
      <c r="C138" s="57"/>
      <c r="D138" s="57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38"/>
      <c r="B139" s="57"/>
      <c r="C139" s="57"/>
      <c r="D139" s="57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38"/>
      <c r="B140" s="57"/>
      <c r="C140" s="57"/>
      <c r="D140" s="57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38"/>
      <c r="B141" s="57"/>
      <c r="C141" s="57"/>
      <c r="D141" s="57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38"/>
      <c r="B142" s="57"/>
      <c r="C142" s="57"/>
      <c r="D142" s="57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38"/>
      <c r="B143" s="57"/>
      <c r="C143" s="57"/>
      <c r="D143" s="57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38"/>
      <c r="B144" s="57"/>
      <c r="C144" s="57"/>
      <c r="D144" s="57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38"/>
      <c r="B145" s="57"/>
      <c r="C145" s="57"/>
      <c r="D145" s="57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38"/>
      <c r="B146" s="57"/>
      <c r="C146" s="57"/>
      <c r="D146" s="57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38"/>
      <c r="B147" s="57"/>
      <c r="C147" s="57"/>
      <c r="D147" s="57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38"/>
      <c r="B148" s="57"/>
      <c r="C148" s="57"/>
      <c r="D148" s="57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38"/>
      <c r="B149" s="57"/>
      <c r="C149" s="57"/>
      <c r="D149" s="57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38"/>
      <c r="B150" s="57"/>
      <c r="C150" s="57"/>
      <c r="D150" s="57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38"/>
      <c r="B151" s="57"/>
      <c r="C151" s="57"/>
      <c r="D151" s="57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38"/>
      <c r="B152" s="57"/>
      <c r="C152" s="57"/>
      <c r="D152" s="57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38"/>
      <c r="B153" s="57"/>
      <c r="C153" s="57"/>
      <c r="D153" s="57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38"/>
      <c r="B154" s="57"/>
      <c r="C154" s="57"/>
      <c r="D154" s="57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38"/>
      <c r="B155" s="57"/>
      <c r="C155" s="57"/>
      <c r="D155" s="57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38"/>
      <c r="B156" s="57"/>
      <c r="C156" s="57"/>
      <c r="D156" s="57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38"/>
      <c r="B157" s="57"/>
      <c r="C157" s="57"/>
      <c r="D157" s="57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38"/>
      <c r="B158" s="57"/>
      <c r="C158" s="57"/>
      <c r="D158" s="57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38"/>
      <c r="B159" s="57"/>
      <c r="C159" s="57"/>
      <c r="D159" s="57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38"/>
      <c r="B160" s="57"/>
      <c r="C160" s="57"/>
      <c r="D160" s="57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38"/>
      <c r="B161" s="57"/>
      <c r="C161" s="57"/>
      <c r="D161" s="57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38"/>
      <c r="B162" s="57"/>
      <c r="C162" s="57"/>
      <c r="D162" s="57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38"/>
      <c r="B163" s="57"/>
      <c r="C163" s="57"/>
      <c r="D163" s="57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38"/>
      <c r="B164" s="57"/>
      <c r="C164" s="57"/>
      <c r="D164" s="57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38"/>
      <c r="B165" s="57"/>
      <c r="C165" s="57"/>
      <c r="D165" s="57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38"/>
      <c r="B166" s="57"/>
      <c r="C166" s="57"/>
      <c r="D166" s="57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38"/>
      <c r="B167" s="57"/>
      <c r="C167" s="57"/>
      <c r="D167" s="57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38"/>
      <c r="B168" s="57"/>
      <c r="C168" s="57"/>
      <c r="D168" s="57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38"/>
      <c r="B169" s="57"/>
      <c r="C169" s="57"/>
      <c r="D169" s="57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38"/>
      <c r="B170" s="57"/>
      <c r="C170" s="57"/>
      <c r="D170" s="57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38"/>
      <c r="B171" s="57"/>
      <c r="C171" s="57"/>
      <c r="D171" s="57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38"/>
      <c r="B172" s="57"/>
      <c r="C172" s="57"/>
      <c r="D172" s="57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38"/>
      <c r="B173" s="57"/>
      <c r="C173" s="57"/>
      <c r="D173" s="57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38"/>
      <c r="B174" s="57"/>
      <c r="C174" s="57"/>
      <c r="D174" s="57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38"/>
      <c r="B175" s="57"/>
      <c r="C175" s="57"/>
      <c r="D175" s="57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38"/>
      <c r="B176" s="57"/>
      <c r="C176" s="57"/>
      <c r="D176" s="57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38"/>
      <c r="B177" s="57"/>
      <c r="C177" s="57"/>
      <c r="D177" s="57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38"/>
      <c r="B178" s="57"/>
      <c r="C178" s="57"/>
      <c r="D178" s="57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38"/>
      <c r="B179" s="57"/>
      <c r="C179" s="57"/>
      <c r="D179" s="57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38"/>
      <c r="B180" s="57"/>
      <c r="C180" s="57"/>
      <c r="D180" s="57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38"/>
      <c r="B181" s="57"/>
      <c r="C181" s="57"/>
      <c r="D181" s="57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38"/>
      <c r="B182" s="57"/>
      <c r="C182" s="57"/>
      <c r="D182" s="57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38"/>
      <c r="B183" s="57"/>
      <c r="C183" s="57"/>
      <c r="D183" s="57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38"/>
      <c r="B184" s="57"/>
      <c r="C184" s="57"/>
      <c r="D184" s="57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38"/>
      <c r="B185" s="57"/>
      <c r="C185" s="57"/>
      <c r="D185" s="57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38"/>
      <c r="B186" s="57"/>
      <c r="C186" s="57"/>
      <c r="D186" s="57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38"/>
      <c r="B187" s="57"/>
      <c r="C187" s="57"/>
      <c r="D187" s="57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38"/>
      <c r="B188" s="57"/>
      <c r="C188" s="57"/>
      <c r="D188" s="57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38"/>
      <c r="B189" s="57"/>
      <c r="C189" s="57"/>
      <c r="D189" s="57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38"/>
      <c r="B190" s="57"/>
      <c r="C190" s="57"/>
      <c r="D190" s="57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38"/>
      <c r="B191" s="57"/>
      <c r="C191" s="57"/>
      <c r="D191" s="57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38"/>
      <c r="B192" s="57"/>
      <c r="C192" s="57"/>
      <c r="D192" s="57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38"/>
      <c r="B193" s="57"/>
      <c r="C193" s="57"/>
      <c r="D193" s="57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38"/>
      <c r="B194" s="57"/>
      <c r="C194" s="57"/>
      <c r="D194" s="57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38"/>
      <c r="B195" s="57"/>
      <c r="C195" s="57"/>
      <c r="D195" s="57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38"/>
      <c r="B196" s="57"/>
      <c r="C196" s="57"/>
      <c r="D196" s="57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38"/>
      <c r="B197" s="57"/>
      <c r="C197" s="57"/>
      <c r="D197" s="57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38"/>
      <c r="B198" s="57"/>
      <c r="C198" s="57"/>
      <c r="D198" s="57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38"/>
      <c r="B199" s="57"/>
      <c r="C199" s="57"/>
      <c r="D199" s="57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38"/>
      <c r="B200" s="57"/>
      <c r="C200" s="57"/>
      <c r="D200" s="57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38"/>
      <c r="B201" s="57"/>
      <c r="C201" s="57"/>
      <c r="D201" s="57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38"/>
      <c r="B202" s="57"/>
      <c r="C202" s="57"/>
      <c r="D202" s="57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38"/>
      <c r="B203" s="57"/>
      <c r="C203" s="57"/>
      <c r="D203" s="57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38"/>
      <c r="B204" s="57"/>
      <c r="C204" s="57"/>
      <c r="D204" s="57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38"/>
      <c r="B205" s="57"/>
      <c r="C205" s="57"/>
      <c r="D205" s="57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38"/>
      <c r="B206" s="57"/>
      <c r="C206" s="57"/>
      <c r="D206" s="57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38"/>
      <c r="B207" s="57"/>
      <c r="C207" s="57"/>
      <c r="D207" s="57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38"/>
      <c r="B208" s="57"/>
      <c r="C208" s="57"/>
      <c r="D208" s="57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38"/>
      <c r="B209" s="57"/>
      <c r="C209" s="57"/>
      <c r="D209" s="57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38"/>
      <c r="B210" s="57"/>
      <c r="C210" s="57"/>
      <c r="D210" s="57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38"/>
      <c r="B211" s="57"/>
      <c r="C211" s="57"/>
      <c r="D211" s="57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38"/>
      <c r="B212" s="57"/>
      <c r="C212" s="57"/>
      <c r="D212" s="57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38"/>
      <c r="B213" s="57"/>
      <c r="C213" s="57"/>
      <c r="D213" s="57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38"/>
      <c r="B214" s="57"/>
      <c r="C214" s="57"/>
      <c r="D214" s="57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38"/>
      <c r="B215" s="57"/>
      <c r="C215" s="57"/>
      <c r="D215" s="57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38"/>
      <c r="B216" s="57"/>
      <c r="C216" s="57"/>
      <c r="D216" s="57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38"/>
      <c r="B217" s="57"/>
      <c r="C217" s="57"/>
      <c r="D217" s="57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38"/>
      <c r="B218" s="57"/>
      <c r="C218" s="57"/>
      <c r="D218" s="57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38"/>
      <c r="B219" s="57"/>
      <c r="C219" s="57"/>
      <c r="D219" s="57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38"/>
      <c r="B220" s="57"/>
      <c r="C220" s="57"/>
      <c r="D220" s="57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38"/>
      <c r="B221" s="57"/>
      <c r="C221" s="57"/>
      <c r="D221" s="57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38"/>
      <c r="B222" s="57"/>
      <c r="C222" s="57"/>
      <c r="D222" s="57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38"/>
      <c r="B223" s="57"/>
      <c r="C223" s="57"/>
      <c r="D223" s="57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38"/>
      <c r="B224" s="57"/>
      <c r="C224" s="57"/>
      <c r="D224" s="57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38"/>
      <c r="B225" s="57"/>
      <c r="C225" s="57"/>
      <c r="D225" s="57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38"/>
      <c r="B226" s="57"/>
      <c r="C226" s="57"/>
      <c r="D226" s="57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38"/>
      <c r="B227" s="57"/>
      <c r="C227" s="57"/>
      <c r="D227" s="57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38"/>
      <c r="B228" s="57"/>
      <c r="C228" s="57"/>
      <c r="D228" s="57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38"/>
      <c r="B229" s="57"/>
      <c r="C229" s="57"/>
      <c r="D229" s="57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38"/>
      <c r="B230" s="57"/>
      <c r="C230" s="57"/>
      <c r="D230" s="57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38"/>
      <c r="B231" s="57"/>
      <c r="C231" s="57"/>
      <c r="D231" s="57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38"/>
      <c r="B232" s="57"/>
      <c r="C232" s="57"/>
      <c r="D232" s="57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38"/>
      <c r="B233" s="57"/>
      <c r="C233" s="57"/>
      <c r="D233" s="57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38"/>
      <c r="B234" s="57"/>
      <c r="C234" s="57"/>
      <c r="D234" s="57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38"/>
      <c r="B235" s="57"/>
      <c r="C235" s="57"/>
      <c r="D235" s="57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38"/>
      <c r="B236" s="57"/>
      <c r="C236" s="57"/>
      <c r="D236" s="57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38"/>
      <c r="B237" s="57"/>
      <c r="C237" s="57"/>
      <c r="D237" s="57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38"/>
      <c r="B238" s="57"/>
      <c r="C238" s="57"/>
      <c r="D238" s="57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38"/>
      <c r="B239" s="57"/>
      <c r="C239" s="57"/>
      <c r="D239" s="57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38"/>
      <c r="B240" s="57"/>
      <c r="C240" s="57"/>
      <c r="D240" s="57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38"/>
      <c r="B241" s="57"/>
      <c r="C241" s="57"/>
      <c r="D241" s="57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38"/>
      <c r="B242" s="57"/>
      <c r="C242" s="57"/>
      <c r="D242" s="57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38"/>
      <c r="B243" s="57"/>
      <c r="C243" s="57"/>
      <c r="D243" s="57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38"/>
      <c r="B244" s="57"/>
      <c r="C244" s="57"/>
      <c r="D244" s="57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38"/>
      <c r="B245" s="57"/>
      <c r="C245" s="57"/>
      <c r="D245" s="57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38"/>
      <c r="B246" s="57"/>
      <c r="C246" s="57"/>
      <c r="D246" s="57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38"/>
      <c r="B247" s="57"/>
      <c r="C247" s="57"/>
      <c r="D247" s="57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38"/>
      <c r="B248" s="57"/>
      <c r="C248" s="57"/>
      <c r="D248" s="57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38"/>
      <c r="B249" s="57"/>
      <c r="C249" s="57"/>
      <c r="D249" s="57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38"/>
      <c r="B250" s="57"/>
      <c r="C250" s="57"/>
      <c r="D250" s="57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38"/>
      <c r="B251" s="57"/>
      <c r="C251" s="57"/>
      <c r="D251" s="57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38"/>
      <c r="B252" s="57"/>
      <c r="C252" s="57"/>
      <c r="D252" s="57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38"/>
      <c r="B253" s="57"/>
      <c r="C253" s="57"/>
      <c r="D253" s="57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38"/>
      <c r="B254" s="57"/>
      <c r="C254" s="57"/>
      <c r="D254" s="57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38"/>
      <c r="B255" s="57"/>
      <c r="C255" s="57"/>
      <c r="D255" s="57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38"/>
      <c r="B256" s="57"/>
      <c r="C256" s="57"/>
      <c r="D256" s="57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38"/>
      <c r="B257" s="57"/>
      <c r="C257" s="57"/>
      <c r="D257" s="57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38"/>
      <c r="B258" s="57"/>
      <c r="C258" s="57"/>
      <c r="D258" s="57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38"/>
      <c r="B259" s="57"/>
      <c r="C259" s="57"/>
      <c r="D259" s="57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38"/>
      <c r="B260" s="57"/>
      <c r="C260" s="57"/>
      <c r="D260" s="57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38"/>
      <c r="B261" s="57"/>
      <c r="C261" s="57"/>
      <c r="D261" s="57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38"/>
      <c r="B262" s="57"/>
      <c r="C262" s="57"/>
      <c r="D262" s="57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38"/>
      <c r="B263" s="57"/>
      <c r="C263" s="57"/>
      <c r="D263" s="57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38"/>
      <c r="B264" s="57"/>
      <c r="C264" s="57"/>
      <c r="D264" s="57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38"/>
      <c r="B265" s="57"/>
      <c r="C265" s="57"/>
      <c r="D265" s="57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38"/>
      <c r="B266" s="57"/>
      <c r="C266" s="57"/>
      <c r="D266" s="57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38"/>
      <c r="B267" s="57"/>
      <c r="C267" s="57"/>
      <c r="D267" s="57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38"/>
      <c r="B268" s="57"/>
      <c r="C268" s="57"/>
      <c r="D268" s="57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38"/>
      <c r="B269" s="57"/>
      <c r="C269" s="57"/>
      <c r="D269" s="57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38"/>
      <c r="B270" s="57"/>
      <c r="C270" s="57"/>
      <c r="D270" s="57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38"/>
      <c r="B271" s="57"/>
      <c r="C271" s="57"/>
      <c r="D271" s="57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38"/>
      <c r="B272" s="57"/>
      <c r="C272" s="57"/>
      <c r="D272" s="57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38"/>
      <c r="B273" s="57"/>
      <c r="C273" s="57"/>
      <c r="D273" s="57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38"/>
      <c r="B274" s="57"/>
      <c r="C274" s="57"/>
      <c r="D274" s="57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38"/>
      <c r="B275" s="57"/>
      <c r="C275" s="57"/>
      <c r="D275" s="57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38"/>
      <c r="B276" s="57"/>
      <c r="C276" s="57"/>
      <c r="D276" s="57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38"/>
      <c r="B277" s="57"/>
      <c r="C277" s="57"/>
      <c r="D277" s="57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38"/>
      <c r="B278" s="57"/>
      <c r="C278" s="57"/>
      <c r="D278" s="57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38"/>
      <c r="B279" s="57"/>
      <c r="C279" s="57"/>
      <c r="D279" s="57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38"/>
      <c r="B280" s="57"/>
      <c r="C280" s="57"/>
      <c r="D280" s="57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38"/>
      <c r="B281" s="57"/>
      <c r="C281" s="57"/>
      <c r="D281" s="57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38"/>
      <c r="B282" s="57"/>
      <c r="C282" s="57"/>
      <c r="D282" s="57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38"/>
      <c r="B283" s="57"/>
      <c r="C283" s="57"/>
      <c r="D283" s="57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38"/>
      <c r="B284" s="57"/>
      <c r="C284" s="57"/>
      <c r="D284" s="57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38"/>
      <c r="B285" s="57"/>
      <c r="C285" s="57"/>
      <c r="D285" s="57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38"/>
      <c r="B286" s="57"/>
      <c r="C286" s="57"/>
      <c r="D286" s="57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38"/>
      <c r="B287" s="57"/>
      <c r="C287" s="57"/>
      <c r="D287" s="57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38"/>
      <c r="B288" s="57"/>
      <c r="C288" s="57"/>
      <c r="D288" s="57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38"/>
      <c r="B289" s="57"/>
      <c r="C289" s="57"/>
      <c r="D289" s="57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38"/>
      <c r="B290" s="57"/>
      <c r="C290" s="57"/>
      <c r="D290" s="57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38"/>
      <c r="B291" s="57"/>
      <c r="C291" s="57"/>
      <c r="D291" s="57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38"/>
      <c r="B292" s="57"/>
      <c r="C292" s="57"/>
      <c r="D292" s="57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38"/>
      <c r="B293" s="57"/>
      <c r="C293" s="57"/>
      <c r="D293" s="57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38"/>
      <c r="B294" s="57"/>
      <c r="C294" s="57"/>
      <c r="D294" s="57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38"/>
      <c r="B295" s="57"/>
      <c r="C295" s="57"/>
      <c r="D295" s="57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38"/>
      <c r="B296" s="57"/>
      <c r="C296" s="57"/>
      <c r="D296" s="57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38"/>
      <c r="B297" s="57"/>
      <c r="C297" s="57"/>
      <c r="D297" s="57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38"/>
      <c r="B298" s="57"/>
      <c r="C298" s="57"/>
      <c r="D298" s="57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38"/>
      <c r="B299" s="57"/>
      <c r="C299" s="57"/>
      <c r="D299" s="57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38"/>
      <c r="B300" s="57"/>
      <c r="C300" s="57"/>
      <c r="D300" s="57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38"/>
      <c r="B301" s="57"/>
      <c r="C301" s="57"/>
      <c r="D301" s="57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38"/>
      <c r="B302" s="57"/>
      <c r="C302" s="57"/>
      <c r="D302" s="57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38"/>
      <c r="B303" s="57"/>
      <c r="C303" s="57"/>
      <c r="D303" s="57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">
    <mergeCell ref="A1:D1"/>
  </mergeCells>
  <dataValidations>
    <dataValidation type="list" allowBlank="1" showErrorMessage="1" sqref="B3:D103">
      <formula1>formularios!$C$2:$C$4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6.29"/>
    <col customWidth="1" min="3" max="3" width="12.43"/>
    <col customWidth="1" min="4" max="4" width="7.14"/>
    <col customWidth="1" min="5" max="5" width="45.71"/>
    <col customWidth="1" min="6" max="6" width="11.57"/>
    <col customWidth="1" min="7" max="7" width="6.29"/>
    <col customWidth="1" min="8" max="8" width="12.43"/>
    <col customWidth="1" min="9" max="9" width="7.14"/>
    <col customWidth="1" min="10" max="10" width="8.71"/>
    <col customWidth="1" min="11" max="11" width="13.29"/>
  </cols>
  <sheetData>
    <row r="1">
      <c r="A1" s="91" t="s">
        <v>143</v>
      </c>
      <c r="B1" s="92"/>
      <c r="C1" s="92"/>
      <c r="D1" s="92"/>
      <c r="E1" s="92"/>
      <c r="F1" s="93" t="s">
        <v>144</v>
      </c>
      <c r="G1" s="92"/>
      <c r="H1" s="92"/>
      <c r="I1" s="92"/>
      <c r="J1" s="94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95" t="s">
        <v>145</v>
      </c>
      <c r="B2" s="95" t="s">
        <v>146</v>
      </c>
      <c r="C2" s="95" t="s">
        <v>147</v>
      </c>
      <c r="D2" s="95" t="s">
        <v>148</v>
      </c>
      <c r="E2" s="95" t="s">
        <v>149</v>
      </c>
      <c r="F2" s="96" t="s">
        <v>145</v>
      </c>
      <c r="G2" s="96" t="s">
        <v>146</v>
      </c>
      <c r="H2" s="96" t="s">
        <v>147</v>
      </c>
      <c r="I2" s="96" t="s">
        <v>148</v>
      </c>
      <c r="J2" s="96" t="s">
        <v>149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97" t="s">
        <v>150</v>
      </c>
      <c r="B3" s="97" t="s">
        <v>151</v>
      </c>
      <c r="C3" s="97" t="s">
        <v>126</v>
      </c>
      <c r="D3" s="97" t="s">
        <v>152</v>
      </c>
      <c r="E3" s="97" t="s">
        <v>153</v>
      </c>
      <c r="F3" s="98" t="s">
        <v>154</v>
      </c>
      <c r="G3" s="98" t="s">
        <v>155</v>
      </c>
      <c r="H3" s="98" t="s">
        <v>156</v>
      </c>
      <c r="I3" s="98" t="s">
        <v>157</v>
      </c>
      <c r="J3" s="98" t="s">
        <v>155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97" t="s">
        <v>150</v>
      </c>
      <c r="B4" s="97" t="s">
        <v>151</v>
      </c>
      <c r="C4" s="97" t="s">
        <v>126</v>
      </c>
      <c r="D4" s="97" t="s">
        <v>158</v>
      </c>
      <c r="E4" s="97" t="s">
        <v>153</v>
      </c>
      <c r="F4" s="98" t="s">
        <v>159</v>
      </c>
      <c r="G4" s="98" t="s">
        <v>155</v>
      </c>
      <c r="H4" s="98" t="s">
        <v>130</v>
      </c>
      <c r="I4" s="98" t="s">
        <v>155</v>
      </c>
      <c r="J4" s="98" t="s">
        <v>155</v>
      </c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97" t="s">
        <v>150</v>
      </c>
      <c r="B5" s="97" t="s">
        <v>151</v>
      </c>
      <c r="C5" s="97" t="s">
        <v>126</v>
      </c>
      <c r="D5" s="97" t="s">
        <v>160</v>
      </c>
      <c r="E5" s="97" t="s">
        <v>153</v>
      </c>
      <c r="F5" s="98"/>
      <c r="G5" s="98"/>
      <c r="H5" s="98"/>
      <c r="I5" s="98"/>
      <c r="J5" s="98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97" t="s">
        <v>161</v>
      </c>
      <c r="B6" s="97" t="s">
        <v>162</v>
      </c>
      <c r="C6" s="97" t="s">
        <v>126</v>
      </c>
      <c r="D6" s="97" t="s">
        <v>152</v>
      </c>
      <c r="E6" s="97" t="s">
        <v>153</v>
      </c>
      <c r="F6" s="98"/>
      <c r="G6" s="98"/>
      <c r="H6" s="98"/>
      <c r="I6" s="98"/>
      <c r="J6" s="98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97" t="s">
        <v>161</v>
      </c>
      <c r="B7" s="97" t="s">
        <v>162</v>
      </c>
      <c r="C7" s="97" t="s">
        <v>126</v>
      </c>
      <c r="D7" s="97" t="s">
        <v>158</v>
      </c>
      <c r="E7" s="97" t="s">
        <v>153</v>
      </c>
      <c r="F7" s="98"/>
      <c r="G7" s="98"/>
      <c r="H7" s="98"/>
      <c r="I7" s="98"/>
      <c r="J7" s="98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97" t="s">
        <v>161</v>
      </c>
      <c r="B8" s="97" t="s">
        <v>162</v>
      </c>
      <c r="C8" s="97" t="s">
        <v>126</v>
      </c>
      <c r="D8" s="97" t="s">
        <v>160</v>
      </c>
      <c r="E8" s="97" t="s">
        <v>153</v>
      </c>
      <c r="F8" s="98"/>
      <c r="G8" s="98"/>
      <c r="H8" s="98"/>
      <c r="I8" s="98"/>
      <c r="J8" s="98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97" t="s">
        <v>163</v>
      </c>
      <c r="B9" s="97" t="s">
        <v>164</v>
      </c>
      <c r="C9" s="97" t="s">
        <v>126</v>
      </c>
      <c r="D9" s="97" t="s">
        <v>152</v>
      </c>
      <c r="E9" s="97" t="s">
        <v>153</v>
      </c>
      <c r="F9" s="98"/>
      <c r="G9" s="98"/>
      <c r="H9" s="98"/>
      <c r="I9" s="98"/>
      <c r="J9" s="98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97" t="s">
        <v>163</v>
      </c>
      <c r="B10" s="97" t="s">
        <v>164</v>
      </c>
      <c r="C10" s="97" t="s">
        <v>126</v>
      </c>
      <c r="D10" s="97" t="s">
        <v>158</v>
      </c>
      <c r="E10" s="97" t="s">
        <v>153</v>
      </c>
      <c r="F10" s="98"/>
      <c r="G10" s="98"/>
      <c r="H10" s="98"/>
      <c r="I10" s="98"/>
      <c r="J10" s="98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97" t="s">
        <v>163</v>
      </c>
      <c r="B11" s="97" t="s">
        <v>164</v>
      </c>
      <c r="C11" s="97" t="s">
        <v>126</v>
      </c>
      <c r="D11" s="97" t="s">
        <v>160</v>
      </c>
      <c r="E11" s="97" t="s">
        <v>153</v>
      </c>
      <c r="F11" s="98"/>
      <c r="G11" s="98"/>
      <c r="H11" s="98"/>
      <c r="I11" s="98"/>
      <c r="J11" s="98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97" t="s">
        <v>165</v>
      </c>
      <c r="B12" s="97" t="s">
        <v>166</v>
      </c>
      <c r="C12" s="97" t="s">
        <v>126</v>
      </c>
      <c r="D12" s="97" t="s">
        <v>152</v>
      </c>
      <c r="E12" s="97" t="s">
        <v>153</v>
      </c>
      <c r="F12" s="98"/>
      <c r="G12" s="98"/>
      <c r="H12" s="98"/>
      <c r="I12" s="98"/>
      <c r="J12" s="98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97" t="s">
        <v>165</v>
      </c>
      <c r="B13" s="97" t="s">
        <v>166</v>
      </c>
      <c r="C13" s="97" t="s">
        <v>126</v>
      </c>
      <c r="D13" s="97" t="s">
        <v>158</v>
      </c>
      <c r="E13" s="97" t="s">
        <v>153</v>
      </c>
      <c r="F13" s="98"/>
      <c r="G13" s="98"/>
      <c r="H13" s="98"/>
      <c r="I13" s="98"/>
      <c r="J13" s="98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97" t="s">
        <v>165</v>
      </c>
      <c r="B14" s="97" t="s">
        <v>166</v>
      </c>
      <c r="C14" s="97" t="s">
        <v>126</v>
      </c>
      <c r="D14" s="97" t="s">
        <v>160</v>
      </c>
      <c r="E14" s="97" t="s">
        <v>153</v>
      </c>
      <c r="F14" s="98"/>
      <c r="G14" s="98"/>
      <c r="H14" s="98"/>
      <c r="I14" s="98"/>
      <c r="J14" s="98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97" t="s">
        <v>167</v>
      </c>
      <c r="B15" s="97" t="s">
        <v>168</v>
      </c>
      <c r="C15" s="97" t="s">
        <v>126</v>
      </c>
      <c r="D15" s="97" t="s">
        <v>152</v>
      </c>
      <c r="E15" s="97" t="s">
        <v>153</v>
      </c>
      <c r="F15" s="98"/>
      <c r="G15" s="98"/>
      <c r="H15" s="98"/>
      <c r="I15" s="98"/>
      <c r="J15" s="98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97" t="s">
        <v>167</v>
      </c>
      <c r="B16" s="97" t="s">
        <v>168</v>
      </c>
      <c r="C16" s="97" t="s">
        <v>126</v>
      </c>
      <c r="D16" s="97" t="s">
        <v>158</v>
      </c>
      <c r="E16" s="97" t="s">
        <v>153</v>
      </c>
      <c r="F16" s="98"/>
      <c r="G16" s="98"/>
      <c r="H16" s="98"/>
      <c r="I16" s="98"/>
      <c r="J16" s="98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97" t="s">
        <v>167</v>
      </c>
      <c r="B17" s="97" t="s">
        <v>168</v>
      </c>
      <c r="C17" s="97" t="s">
        <v>126</v>
      </c>
      <c r="D17" s="97" t="s">
        <v>160</v>
      </c>
      <c r="E17" s="97" t="s">
        <v>153</v>
      </c>
      <c r="F17" s="98"/>
      <c r="G17" s="98"/>
      <c r="H17" s="98"/>
      <c r="I17" s="98"/>
      <c r="J17" s="98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97" t="s">
        <v>169</v>
      </c>
      <c r="B18" s="97" t="s">
        <v>170</v>
      </c>
      <c r="C18" s="97" t="s">
        <v>126</v>
      </c>
      <c r="D18" s="97" t="s">
        <v>152</v>
      </c>
      <c r="E18" s="97" t="s">
        <v>153</v>
      </c>
      <c r="F18" s="98"/>
      <c r="G18" s="98"/>
      <c r="H18" s="98"/>
      <c r="I18" s="98"/>
      <c r="J18" s="98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97" t="s">
        <v>169</v>
      </c>
      <c r="B19" s="97" t="s">
        <v>170</v>
      </c>
      <c r="C19" s="97" t="s">
        <v>126</v>
      </c>
      <c r="D19" s="97" t="s">
        <v>158</v>
      </c>
      <c r="E19" s="97" t="s">
        <v>153</v>
      </c>
      <c r="F19" s="98"/>
      <c r="G19" s="98"/>
      <c r="H19" s="98"/>
      <c r="I19" s="98"/>
      <c r="J19" s="98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97" t="s">
        <v>169</v>
      </c>
      <c r="B20" s="97" t="s">
        <v>170</v>
      </c>
      <c r="C20" s="97" t="s">
        <v>126</v>
      </c>
      <c r="D20" s="97" t="s">
        <v>160</v>
      </c>
      <c r="E20" s="97" t="s">
        <v>153</v>
      </c>
      <c r="F20" s="98"/>
      <c r="G20" s="98"/>
      <c r="H20" s="98"/>
      <c r="I20" s="98"/>
      <c r="J20" s="98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97" t="s">
        <v>171</v>
      </c>
      <c r="B21" s="97" t="s">
        <v>172</v>
      </c>
      <c r="C21" s="97" t="s">
        <v>126</v>
      </c>
      <c r="D21" s="97" t="s">
        <v>152</v>
      </c>
      <c r="E21" s="97" t="s">
        <v>153</v>
      </c>
      <c r="F21" s="98"/>
      <c r="G21" s="98"/>
      <c r="H21" s="98"/>
      <c r="I21" s="98"/>
      <c r="J21" s="98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97" t="s">
        <v>171</v>
      </c>
      <c r="B22" s="97" t="s">
        <v>172</v>
      </c>
      <c r="C22" s="97" t="s">
        <v>126</v>
      </c>
      <c r="D22" s="97" t="s">
        <v>158</v>
      </c>
      <c r="E22" s="97" t="s">
        <v>153</v>
      </c>
      <c r="F22" s="98"/>
      <c r="G22" s="98"/>
      <c r="H22" s="98"/>
      <c r="I22" s="98"/>
      <c r="J22" s="98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97" t="s">
        <v>171</v>
      </c>
      <c r="B23" s="97" t="s">
        <v>172</v>
      </c>
      <c r="C23" s="97" t="s">
        <v>126</v>
      </c>
      <c r="D23" s="97" t="s">
        <v>160</v>
      </c>
      <c r="E23" s="97" t="s">
        <v>153</v>
      </c>
      <c r="F23" s="98"/>
      <c r="G23" s="98"/>
      <c r="H23" s="98"/>
      <c r="I23" s="98"/>
      <c r="J23" s="98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97" t="s">
        <v>173</v>
      </c>
      <c r="B24" s="97" t="s">
        <v>174</v>
      </c>
      <c r="C24" s="97" t="s">
        <v>126</v>
      </c>
      <c r="D24" s="97" t="s">
        <v>152</v>
      </c>
      <c r="E24" s="97" t="s">
        <v>175</v>
      </c>
      <c r="F24" s="98"/>
      <c r="G24" s="98"/>
      <c r="H24" s="98"/>
      <c r="I24" s="98"/>
      <c r="J24" s="98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97" t="s">
        <v>173</v>
      </c>
      <c r="B25" s="97" t="s">
        <v>174</v>
      </c>
      <c r="C25" s="97" t="s">
        <v>126</v>
      </c>
      <c r="D25" s="97" t="s">
        <v>158</v>
      </c>
      <c r="E25" s="97" t="s">
        <v>175</v>
      </c>
      <c r="F25" s="98"/>
      <c r="G25" s="98"/>
      <c r="H25" s="98"/>
      <c r="I25" s="98"/>
      <c r="J25" s="98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97" t="s">
        <v>173</v>
      </c>
      <c r="B26" s="97" t="s">
        <v>174</v>
      </c>
      <c r="C26" s="97" t="s">
        <v>126</v>
      </c>
      <c r="D26" s="97" t="s">
        <v>160</v>
      </c>
      <c r="E26" s="97" t="s">
        <v>175</v>
      </c>
      <c r="F26" s="98"/>
      <c r="G26" s="98"/>
      <c r="H26" s="98"/>
      <c r="I26" s="98"/>
      <c r="J26" s="98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97" t="s">
        <v>176</v>
      </c>
      <c r="B27" s="97" t="s">
        <v>177</v>
      </c>
      <c r="C27" s="97" t="s">
        <v>126</v>
      </c>
      <c r="D27" s="97" t="s">
        <v>152</v>
      </c>
      <c r="E27" s="97" t="s">
        <v>175</v>
      </c>
      <c r="F27" s="98"/>
      <c r="G27" s="98"/>
      <c r="H27" s="98"/>
      <c r="I27" s="98"/>
      <c r="J27" s="98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97" t="s">
        <v>176</v>
      </c>
      <c r="B28" s="97" t="s">
        <v>177</v>
      </c>
      <c r="C28" s="97" t="s">
        <v>126</v>
      </c>
      <c r="D28" s="97" t="s">
        <v>158</v>
      </c>
      <c r="E28" s="97" t="s">
        <v>175</v>
      </c>
      <c r="F28" s="98"/>
      <c r="G28" s="98"/>
      <c r="H28" s="98"/>
      <c r="I28" s="98"/>
      <c r="J28" s="98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97" t="s">
        <v>176</v>
      </c>
      <c r="B29" s="97" t="s">
        <v>177</v>
      </c>
      <c r="C29" s="97" t="s">
        <v>126</v>
      </c>
      <c r="D29" s="97" t="s">
        <v>160</v>
      </c>
      <c r="E29" s="97" t="s">
        <v>175</v>
      </c>
      <c r="F29" s="98"/>
      <c r="G29" s="98"/>
      <c r="H29" s="98"/>
      <c r="I29" s="98"/>
      <c r="J29" s="98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97" t="s">
        <v>154</v>
      </c>
      <c r="B30" s="97" t="s">
        <v>178</v>
      </c>
      <c r="C30" s="97" t="s">
        <v>126</v>
      </c>
      <c r="D30" s="97" t="s">
        <v>152</v>
      </c>
      <c r="E30" s="97" t="s">
        <v>175</v>
      </c>
      <c r="F30" s="98"/>
      <c r="G30" s="98"/>
      <c r="H30" s="98"/>
      <c r="I30" s="98"/>
      <c r="J30" s="98"/>
      <c r="K30" s="57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97" t="s">
        <v>154</v>
      </c>
      <c r="B31" s="97" t="s">
        <v>178</v>
      </c>
      <c r="C31" s="97" t="s">
        <v>126</v>
      </c>
      <c r="D31" s="97" t="s">
        <v>158</v>
      </c>
      <c r="E31" s="97" t="s">
        <v>175</v>
      </c>
      <c r="F31" s="98"/>
      <c r="G31" s="98"/>
      <c r="H31" s="98"/>
      <c r="I31" s="98"/>
      <c r="J31" s="98"/>
      <c r="K31" s="57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97" t="s">
        <v>154</v>
      </c>
      <c r="B32" s="97" t="s">
        <v>178</v>
      </c>
      <c r="C32" s="97" t="s">
        <v>126</v>
      </c>
      <c r="D32" s="97" t="s">
        <v>160</v>
      </c>
      <c r="E32" s="97" t="s">
        <v>175</v>
      </c>
      <c r="F32" s="98"/>
      <c r="G32" s="98"/>
      <c r="H32" s="98"/>
      <c r="I32" s="98"/>
      <c r="J32" s="98"/>
      <c r="K32" s="57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97" t="s">
        <v>167</v>
      </c>
      <c r="B33" s="97" t="s">
        <v>151</v>
      </c>
      <c r="C33" s="97" t="s">
        <v>129</v>
      </c>
      <c r="D33" s="97" t="s">
        <v>179</v>
      </c>
      <c r="E33" s="97" t="s">
        <v>180</v>
      </c>
      <c r="F33" s="98"/>
      <c r="G33" s="98"/>
      <c r="H33" s="98"/>
      <c r="I33" s="98"/>
      <c r="J33" s="98"/>
      <c r="K33" s="57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97" t="s">
        <v>167</v>
      </c>
      <c r="B34" s="97" t="s">
        <v>151</v>
      </c>
      <c r="C34" s="97" t="s">
        <v>129</v>
      </c>
      <c r="D34" s="97" t="s">
        <v>181</v>
      </c>
      <c r="E34" s="97" t="s">
        <v>180</v>
      </c>
      <c r="F34" s="98"/>
      <c r="G34" s="98"/>
      <c r="H34" s="98"/>
      <c r="I34" s="98"/>
      <c r="J34" s="98"/>
      <c r="K34" s="57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97" t="s">
        <v>161</v>
      </c>
      <c r="B35" s="97" t="s">
        <v>162</v>
      </c>
      <c r="C35" s="97" t="s">
        <v>129</v>
      </c>
      <c r="D35" s="97" t="s">
        <v>179</v>
      </c>
      <c r="E35" s="97" t="s">
        <v>180</v>
      </c>
      <c r="F35" s="98"/>
      <c r="G35" s="98"/>
      <c r="H35" s="98"/>
      <c r="I35" s="98"/>
      <c r="J35" s="98"/>
      <c r="K35" s="57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97" t="s">
        <v>161</v>
      </c>
      <c r="B36" s="97" t="s">
        <v>162</v>
      </c>
      <c r="C36" s="97" t="s">
        <v>129</v>
      </c>
      <c r="D36" s="97" t="s">
        <v>181</v>
      </c>
      <c r="E36" s="97" t="s">
        <v>180</v>
      </c>
      <c r="F36" s="98"/>
      <c r="G36" s="98"/>
      <c r="H36" s="98"/>
      <c r="I36" s="98"/>
      <c r="J36" s="98"/>
      <c r="K36" s="57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97" t="s">
        <v>182</v>
      </c>
      <c r="B37" s="97" t="s">
        <v>164</v>
      </c>
      <c r="C37" s="97" t="s">
        <v>129</v>
      </c>
      <c r="D37" s="97" t="s">
        <v>179</v>
      </c>
      <c r="E37" s="97" t="s">
        <v>180</v>
      </c>
      <c r="F37" s="98"/>
      <c r="G37" s="98"/>
      <c r="H37" s="98"/>
      <c r="I37" s="98"/>
      <c r="J37" s="98"/>
      <c r="K37" s="57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97" t="s">
        <v>182</v>
      </c>
      <c r="B38" s="97" t="s">
        <v>164</v>
      </c>
      <c r="C38" s="97" t="s">
        <v>129</v>
      </c>
      <c r="D38" s="97" t="s">
        <v>181</v>
      </c>
      <c r="E38" s="97" t="s">
        <v>180</v>
      </c>
      <c r="F38" s="98"/>
      <c r="G38" s="98"/>
      <c r="H38" s="98"/>
      <c r="I38" s="98"/>
      <c r="J38" s="98"/>
      <c r="K38" s="57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97" t="s">
        <v>183</v>
      </c>
      <c r="B39" s="97" t="s">
        <v>166</v>
      </c>
      <c r="C39" s="97" t="s">
        <v>129</v>
      </c>
      <c r="D39" s="97" t="s">
        <v>179</v>
      </c>
      <c r="E39" s="97" t="s">
        <v>180</v>
      </c>
      <c r="F39" s="98"/>
      <c r="G39" s="98"/>
      <c r="H39" s="98"/>
      <c r="I39" s="98"/>
      <c r="J39" s="98"/>
      <c r="K39" s="57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97" t="s">
        <v>183</v>
      </c>
      <c r="B40" s="97" t="s">
        <v>166</v>
      </c>
      <c r="C40" s="97" t="s">
        <v>129</v>
      </c>
      <c r="D40" s="97" t="s">
        <v>181</v>
      </c>
      <c r="E40" s="97" t="s">
        <v>180</v>
      </c>
      <c r="F40" s="98"/>
      <c r="G40" s="98"/>
      <c r="H40" s="98"/>
      <c r="I40" s="98"/>
      <c r="J40" s="98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97" t="s">
        <v>184</v>
      </c>
      <c r="B41" s="97" t="s">
        <v>168</v>
      </c>
      <c r="C41" s="97" t="s">
        <v>129</v>
      </c>
      <c r="D41" s="97" t="s">
        <v>179</v>
      </c>
      <c r="E41" s="97" t="s">
        <v>180</v>
      </c>
      <c r="F41" s="98"/>
      <c r="G41" s="98"/>
      <c r="H41" s="98"/>
      <c r="I41" s="98"/>
      <c r="J41" s="98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97" t="s">
        <v>184</v>
      </c>
      <c r="B42" s="97" t="s">
        <v>168</v>
      </c>
      <c r="C42" s="97" t="s">
        <v>129</v>
      </c>
      <c r="D42" s="97" t="s">
        <v>181</v>
      </c>
      <c r="E42" s="97" t="s">
        <v>180</v>
      </c>
      <c r="F42" s="98"/>
      <c r="G42" s="98"/>
      <c r="H42" s="98"/>
      <c r="I42" s="98"/>
      <c r="J42" s="98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97" t="s">
        <v>173</v>
      </c>
      <c r="B43" s="97" t="s">
        <v>170</v>
      </c>
      <c r="C43" s="97" t="s">
        <v>129</v>
      </c>
      <c r="D43" s="97" t="s">
        <v>179</v>
      </c>
      <c r="E43" s="97" t="s">
        <v>180</v>
      </c>
      <c r="F43" s="98"/>
      <c r="G43" s="98"/>
      <c r="H43" s="98"/>
      <c r="I43" s="98"/>
      <c r="J43" s="98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97" t="s">
        <v>173</v>
      </c>
      <c r="B44" s="97" t="s">
        <v>170</v>
      </c>
      <c r="C44" s="97" t="s">
        <v>129</v>
      </c>
      <c r="D44" s="97" t="s">
        <v>181</v>
      </c>
      <c r="E44" s="97" t="s">
        <v>180</v>
      </c>
      <c r="F44" s="98"/>
      <c r="G44" s="98"/>
      <c r="H44" s="98"/>
      <c r="I44" s="98"/>
      <c r="J44" s="98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97" t="s">
        <v>171</v>
      </c>
      <c r="B45" s="97" t="s">
        <v>172</v>
      </c>
      <c r="C45" s="97" t="s">
        <v>129</v>
      </c>
      <c r="D45" s="97" t="s">
        <v>179</v>
      </c>
      <c r="E45" s="97" t="s">
        <v>180</v>
      </c>
      <c r="F45" s="98"/>
      <c r="G45" s="98"/>
      <c r="H45" s="98"/>
      <c r="I45" s="98"/>
      <c r="J45" s="98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97" t="s">
        <v>171</v>
      </c>
      <c r="B46" s="97" t="s">
        <v>172</v>
      </c>
      <c r="C46" s="97" t="s">
        <v>129</v>
      </c>
      <c r="D46" s="97" t="s">
        <v>181</v>
      </c>
      <c r="E46" s="97" t="s">
        <v>180</v>
      </c>
      <c r="F46" s="98"/>
      <c r="G46" s="98"/>
      <c r="H46" s="98"/>
      <c r="I46" s="98"/>
      <c r="J46" s="98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97" t="s">
        <v>154</v>
      </c>
      <c r="B47" s="97" t="s">
        <v>174</v>
      </c>
      <c r="C47" s="97" t="s">
        <v>129</v>
      </c>
      <c r="D47" s="97" t="s">
        <v>179</v>
      </c>
      <c r="E47" s="97" t="s">
        <v>185</v>
      </c>
      <c r="F47" s="98"/>
      <c r="G47" s="98"/>
      <c r="H47" s="98"/>
      <c r="I47" s="98"/>
      <c r="J47" s="98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97" t="s">
        <v>154</v>
      </c>
      <c r="B48" s="97" t="s">
        <v>174</v>
      </c>
      <c r="C48" s="97" t="s">
        <v>129</v>
      </c>
      <c r="D48" s="97" t="s">
        <v>181</v>
      </c>
      <c r="E48" s="97" t="s">
        <v>185</v>
      </c>
      <c r="F48" s="98"/>
      <c r="G48" s="98"/>
      <c r="H48" s="98"/>
      <c r="I48" s="98"/>
      <c r="J48" s="98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97" t="s">
        <v>186</v>
      </c>
      <c r="B49" s="97" t="s">
        <v>177</v>
      </c>
      <c r="C49" s="97" t="s">
        <v>129</v>
      </c>
      <c r="D49" s="97" t="s">
        <v>179</v>
      </c>
      <c r="E49" s="97" t="s">
        <v>185</v>
      </c>
      <c r="F49" s="98"/>
      <c r="G49" s="98"/>
      <c r="H49" s="98"/>
      <c r="I49" s="98"/>
      <c r="J49" s="98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97" t="s">
        <v>186</v>
      </c>
      <c r="B50" s="97" t="s">
        <v>177</v>
      </c>
      <c r="C50" s="97" t="s">
        <v>129</v>
      </c>
      <c r="D50" s="97" t="s">
        <v>181</v>
      </c>
      <c r="E50" s="97" t="s">
        <v>185</v>
      </c>
      <c r="F50" s="98"/>
      <c r="G50" s="98"/>
      <c r="H50" s="98"/>
      <c r="I50" s="98"/>
      <c r="J50" s="98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97" t="s">
        <v>159</v>
      </c>
      <c r="B51" s="97" t="s">
        <v>178</v>
      </c>
      <c r="C51" s="97" t="s">
        <v>129</v>
      </c>
      <c r="D51" s="97" t="s">
        <v>179</v>
      </c>
      <c r="E51" s="97" t="s">
        <v>185</v>
      </c>
      <c r="F51" s="98"/>
      <c r="G51" s="98"/>
      <c r="H51" s="98"/>
      <c r="I51" s="98"/>
      <c r="J51" s="98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97" t="s">
        <v>159</v>
      </c>
      <c r="B52" s="97" t="s">
        <v>178</v>
      </c>
      <c r="C52" s="97" t="s">
        <v>129</v>
      </c>
      <c r="D52" s="97" t="s">
        <v>181</v>
      </c>
      <c r="E52" s="97" t="s">
        <v>185</v>
      </c>
      <c r="F52" s="98"/>
      <c r="G52" s="98"/>
      <c r="H52" s="98"/>
      <c r="I52" s="98"/>
      <c r="J52" s="98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97"/>
      <c r="B53" s="97"/>
      <c r="C53" s="97"/>
      <c r="D53" s="97"/>
      <c r="E53" s="97"/>
      <c r="F53" s="98"/>
      <c r="G53" s="98"/>
      <c r="H53" s="98"/>
      <c r="I53" s="98"/>
      <c r="J53" s="98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97"/>
      <c r="B54" s="97"/>
      <c r="C54" s="97"/>
      <c r="D54" s="97"/>
      <c r="E54" s="97"/>
      <c r="F54" s="98"/>
      <c r="G54" s="98"/>
      <c r="H54" s="98"/>
      <c r="I54" s="98"/>
      <c r="J54" s="98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97"/>
      <c r="B55" s="97"/>
      <c r="C55" s="97"/>
      <c r="D55" s="97"/>
      <c r="E55" s="97"/>
      <c r="F55" s="98"/>
      <c r="G55" s="98"/>
      <c r="H55" s="98"/>
      <c r="I55" s="98"/>
      <c r="J55" s="98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97"/>
      <c r="B56" s="97"/>
      <c r="C56" s="97"/>
      <c r="D56" s="97"/>
      <c r="E56" s="97"/>
      <c r="F56" s="98"/>
      <c r="G56" s="98"/>
      <c r="H56" s="98"/>
      <c r="I56" s="98"/>
      <c r="J56" s="98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97"/>
      <c r="B57" s="97"/>
      <c r="C57" s="97"/>
      <c r="D57" s="97"/>
      <c r="E57" s="97"/>
      <c r="F57" s="98"/>
      <c r="G57" s="98"/>
      <c r="H57" s="98"/>
      <c r="I57" s="98"/>
      <c r="J57" s="98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97"/>
      <c r="B58" s="97"/>
      <c r="C58" s="97"/>
      <c r="D58" s="97"/>
      <c r="E58" s="97"/>
      <c r="F58" s="98"/>
      <c r="G58" s="98"/>
      <c r="H58" s="98"/>
      <c r="I58" s="98"/>
      <c r="J58" s="98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97"/>
      <c r="B59" s="97"/>
      <c r="C59" s="97"/>
      <c r="D59" s="97"/>
      <c r="E59" s="97"/>
      <c r="F59" s="98"/>
      <c r="G59" s="98"/>
      <c r="H59" s="98"/>
      <c r="I59" s="98"/>
      <c r="J59" s="98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97"/>
      <c r="B60" s="97"/>
      <c r="C60" s="97"/>
      <c r="D60" s="97"/>
      <c r="E60" s="97"/>
      <c r="F60" s="98"/>
      <c r="G60" s="98"/>
      <c r="H60" s="98"/>
      <c r="I60" s="98"/>
      <c r="J60" s="98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97"/>
      <c r="B61" s="97"/>
      <c r="C61" s="97"/>
      <c r="D61" s="97"/>
      <c r="E61" s="97"/>
      <c r="F61" s="98"/>
      <c r="G61" s="98"/>
      <c r="H61" s="98"/>
      <c r="I61" s="98"/>
      <c r="J61" s="98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97"/>
      <c r="B62" s="97"/>
      <c r="C62" s="97"/>
      <c r="D62" s="97"/>
      <c r="E62" s="97"/>
      <c r="F62" s="98"/>
      <c r="G62" s="98"/>
      <c r="H62" s="98"/>
      <c r="I62" s="98"/>
      <c r="J62" s="98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97"/>
      <c r="B63" s="97"/>
      <c r="C63" s="97"/>
      <c r="D63" s="97"/>
      <c r="E63" s="97"/>
      <c r="F63" s="98"/>
      <c r="G63" s="98"/>
      <c r="H63" s="98"/>
      <c r="I63" s="98"/>
      <c r="J63" s="98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97"/>
      <c r="B64" s="97"/>
      <c r="C64" s="97"/>
      <c r="D64" s="97"/>
      <c r="E64" s="97"/>
      <c r="F64" s="98"/>
      <c r="G64" s="98"/>
      <c r="H64" s="98"/>
      <c r="I64" s="98"/>
      <c r="J64" s="98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97"/>
      <c r="B65" s="97"/>
      <c r="C65" s="97"/>
      <c r="D65" s="97"/>
      <c r="E65" s="97"/>
      <c r="F65" s="98"/>
      <c r="G65" s="98"/>
      <c r="H65" s="98"/>
      <c r="I65" s="98"/>
      <c r="J65" s="98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97"/>
      <c r="B66" s="97"/>
      <c r="C66" s="97"/>
      <c r="D66" s="97"/>
      <c r="E66" s="97"/>
      <c r="F66" s="98"/>
      <c r="G66" s="98"/>
      <c r="H66" s="98"/>
      <c r="I66" s="98"/>
      <c r="J66" s="98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97"/>
      <c r="B67" s="97"/>
      <c r="C67" s="97"/>
      <c r="D67" s="97"/>
      <c r="E67" s="97"/>
      <c r="F67" s="98"/>
      <c r="G67" s="98"/>
      <c r="H67" s="98"/>
      <c r="I67" s="98"/>
      <c r="J67" s="98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97"/>
      <c r="B68" s="97"/>
      <c r="C68" s="97"/>
      <c r="D68" s="97"/>
      <c r="E68" s="97"/>
      <c r="F68" s="98"/>
      <c r="G68" s="98"/>
      <c r="H68" s="98"/>
      <c r="I68" s="98"/>
      <c r="J68" s="98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97"/>
      <c r="B69" s="97"/>
      <c r="C69" s="97"/>
      <c r="D69" s="97"/>
      <c r="E69" s="97"/>
      <c r="F69" s="98"/>
      <c r="G69" s="98"/>
      <c r="H69" s="98"/>
      <c r="I69" s="98"/>
      <c r="J69" s="98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97"/>
      <c r="B70" s="97"/>
      <c r="C70" s="97"/>
      <c r="D70" s="97"/>
      <c r="E70" s="97"/>
      <c r="F70" s="98"/>
      <c r="G70" s="98"/>
      <c r="H70" s="98"/>
      <c r="I70" s="98"/>
      <c r="J70" s="98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97"/>
      <c r="B71" s="97"/>
      <c r="C71" s="97"/>
      <c r="D71" s="97"/>
      <c r="E71" s="97"/>
      <c r="F71" s="98"/>
      <c r="G71" s="98"/>
      <c r="H71" s="98"/>
      <c r="I71" s="98"/>
      <c r="J71" s="98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97"/>
      <c r="B72" s="97"/>
      <c r="C72" s="97"/>
      <c r="D72" s="97"/>
      <c r="E72" s="97"/>
      <c r="F72" s="98"/>
      <c r="G72" s="98"/>
      <c r="H72" s="98"/>
      <c r="I72" s="98"/>
      <c r="J72" s="98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97"/>
      <c r="B73" s="97"/>
      <c r="C73" s="97"/>
      <c r="D73" s="97"/>
      <c r="E73" s="97"/>
      <c r="F73" s="98"/>
      <c r="G73" s="98"/>
      <c r="H73" s="98"/>
      <c r="I73" s="98"/>
      <c r="J73" s="98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97"/>
      <c r="B74" s="97"/>
      <c r="C74" s="97"/>
      <c r="D74" s="97"/>
      <c r="E74" s="97"/>
      <c r="F74" s="98"/>
      <c r="G74" s="98"/>
      <c r="H74" s="98"/>
      <c r="I74" s="98"/>
      <c r="J74" s="98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97"/>
      <c r="B75" s="97"/>
      <c r="C75" s="97"/>
      <c r="D75" s="97"/>
      <c r="E75" s="97"/>
      <c r="F75" s="98"/>
      <c r="G75" s="98"/>
      <c r="H75" s="98"/>
      <c r="I75" s="98"/>
      <c r="J75" s="98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97"/>
      <c r="B76" s="97"/>
      <c r="C76" s="97"/>
      <c r="D76" s="97"/>
      <c r="E76" s="97"/>
      <c r="F76" s="98"/>
      <c r="G76" s="98"/>
      <c r="H76" s="98"/>
      <c r="I76" s="98"/>
      <c r="J76" s="98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97"/>
      <c r="B77" s="97"/>
      <c r="C77" s="97"/>
      <c r="D77" s="97"/>
      <c r="E77" s="97"/>
      <c r="F77" s="98"/>
      <c r="G77" s="98"/>
      <c r="H77" s="98"/>
      <c r="I77" s="98"/>
      <c r="J77" s="98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97"/>
      <c r="B78" s="97"/>
      <c r="C78" s="97"/>
      <c r="D78" s="97"/>
      <c r="E78" s="97"/>
      <c r="F78" s="98"/>
      <c r="G78" s="98"/>
      <c r="H78" s="98"/>
      <c r="I78" s="98"/>
      <c r="J78" s="98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97"/>
      <c r="B79" s="97"/>
      <c r="C79" s="97"/>
      <c r="D79" s="97"/>
      <c r="E79" s="97"/>
      <c r="F79" s="98"/>
      <c r="G79" s="98"/>
      <c r="H79" s="98"/>
      <c r="I79" s="98"/>
      <c r="J79" s="98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97"/>
      <c r="B80" s="97"/>
      <c r="C80" s="97"/>
      <c r="D80" s="97"/>
      <c r="E80" s="97"/>
      <c r="F80" s="98"/>
      <c r="G80" s="98"/>
      <c r="H80" s="98"/>
      <c r="I80" s="98"/>
      <c r="J80" s="98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97"/>
      <c r="B81" s="97"/>
      <c r="C81" s="97"/>
      <c r="D81" s="97"/>
      <c r="E81" s="97"/>
      <c r="F81" s="98"/>
      <c r="G81" s="98"/>
      <c r="H81" s="98"/>
      <c r="I81" s="98"/>
      <c r="J81" s="98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97"/>
      <c r="B82" s="97"/>
      <c r="C82" s="97"/>
      <c r="D82" s="97"/>
      <c r="E82" s="97"/>
      <c r="F82" s="98"/>
      <c r="G82" s="98"/>
      <c r="H82" s="98"/>
      <c r="I82" s="98"/>
      <c r="J82" s="98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97"/>
      <c r="B83" s="97"/>
      <c r="C83" s="97"/>
      <c r="D83" s="97"/>
      <c r="E83" s="97"/>
      <c r="F83" s="98"/>
      <c r="G83" s="98"/>
      <c r="H83" s="98"/>
      <c r="I83" s="98"/>
      <c r="J83" s="98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97"/>
      <c r="B84" s="97"/>
      <c r="C84" s="97"/>
      <c r="D84" s="97"/>
      <c r="E84" s="97"/>
      <c r="F84" s="98"/>
      <c r="G84" s="98"/>
      <c r="H84" s="98"/>
      <c r="I84" s="98"/>
      <c r="J84" s="98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97"/>
      <c r="B85" s="97"/>
      <c r="C85" s="97"/>
      <c r="D85" s="97"/>
      <c r="E85" s="97"/>
      <c r="F85" s="98"/>
      <c r="G85" s="98"/>
      <c r="H85" s="98"/>
      <c r="I85" s="98"/>
      <c r="J85" s="98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97"/>
      <c r="B86" s="97"/>
      <c r="C86" s="97"/>
      <c r="D86" s="97"/>
      <c r="E86" s="97"/>
      <c r="F86" s="98"/>
      <c r="G86" s="98"/>
      <c r="H86" s="98"/>
      <c r="I86" s="98"/>
      <c r="J86" s="98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97"/>
      <c r="B87" s="97"/>
      <c r="C87" s="97"/>
      <c r="D87" s="97"/>
      <c r="E87" s="97"/>
      <c r="F87" s="98"/>
      <c r="G87" s="98"/>
      <c r="H87" s="98"/>
      <c r="I87" s="98"/>
      <c r="J87" s="98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97"/>
      <c r="B88" s="97"/>
      <c r="C88" s="97"/>
      <c r="D88" s="97"/>
      <c r="E88" s="97"/>
      <c r="F88" s="98"/>
      <c r="G88" s="98"/>
      <c r="H88" s="98"/>
      <c r="I88" s="98"/>
      <c r="J88" s="98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97"/>
      <c r="B89" s="97"/>
      <c r="C89" s="97"/>
      <c r="D89" s="97"/>
      <c r="E89" s="97"/>
      <c r="F89" s="98"/>
      <c r="G89" s="98"/>
      <c r="H89" s="98"/>
      <c r="I89" s="98"/>
      <c r="J89" s="98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97"/>
      <c r="B90" s="97"/>
      <c r="C90" s="97"/>
      <c r="D90" s="97"/>
      <c r="E90" s="97"/>
      <c r="F90" s="98"/>
      <c r="G90" s="98"/>
      <c r="H90" s="98"/>
      <c r="I90" s="98"/>
      <c r="J90" s="98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97"/>
      <c r="B91" s="97"/>
      <c r="C91" s="97"/>
      <c r="D91" s="97"/>
      <c r="E91" s="97"/>
      <c r="F91" s="98"/>
      <c r="G91" s="98"/>
      <c r="H91" s="98"/>
      <c r="I91" s="98"/>
      <c r="J91" s="98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97"/>
      <c r="B92" s="97"/>
      <c r="C92" s="97"/>
      <c r="D92" s="97"/>
      <c r="E92" s="97"/>
      <c r="F92" s="98"/>
      <c r="G92" s="98"/>
      <c r="H92" s="98"/>
      <c r="I92" s="98"/>
      <c r="J92" s="98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97"/>
      <c r="B93" s="97"/>
      <c r="C93" s="97"/>
      <c r="D93" s="97"/>
      <c r="E93" s="97"/>
      <c r="F93" s="98"/>
      <c r="G93" s="98"/>
      <c r="H93" s="98"/>
      <c r="I93" s="98"/>
      <c r="J93" s="98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97"/>
      <c r="B94" s="97"/>
      <c r="C94" s="97"/>
      <c r="D94" s="97"/>
      <c r="E94" s="97"/>
      <c r="F94" s="98"/>
      <c r="G94" s="98"/>
      <c r="H94" s="98"/>
      <c r="I94" s="98"/>
      <c r="J94" s="98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97"/>
      <c r="B95" s="97"/>
      <c r="C95" s="97"/>
      <c r="D95" s="97"/>
      <c r="E95" s="97"/>
      <c r="F95" s="98"/>
      <c r="G95" s="98"/>
      <c r="H95" s="98"/>
      <c r="I95" s="98"/>
      <c r="J95" s="98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97"/>
      <c r="B96" s="97"/>
      <c r="C96" s="97"/>
      <c r="D96" s="97"/>
      <c r="E96" s="97"/>
      <c r="F96" s="98"/>
      <c r="G96" s="98"/>
      <c r="H96" s="98"/>
      <c r="I96" s="98"/>
      <c r="J96" s="98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97"/>
      <c r="B97" s="97"/>
      <c r="C97" s="97"/>
      <c r="D97" s="97"/>
      <c r="E97" s="97"/>
      <c r="F97" s="98"/>
      <c r="G97" s="98"/>
      <c r="H97" s="98"/>
      <c r="I97" s="98"/>
      <c r="J97" s="98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97"/>
      <c r="B98" s="97"/>
      <c r="C98" s="97"/>
      <c r="D98" s="97"/>
      <c r="E98" s="97"/>
      <c r="F98" s="98"/>
      <c r="G98" s="98"/>
      <c r="H98" s="98"/>
      <c r="I98" s="98"/>
      <c r="J98" s="98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97"/>
      <c r="B99" s="97"/>
      <c r="C99" s="97"/>
      <c r="D99" s="97"/>
      <c r="E99" s="97"/>
      <c r="F99" s="98"/>
      <c r="G99" s="98"/>
      <c r="H99" s="98"/>
      <c r="I99" s="98"/>
      <c r="J99" s="98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97"/>
      <c r="B100" s="97"/>
      <c r="C100" s="97"/>
      <c r="D100" s="97"/>
      <c r="E100" s="97"/>
      <c r="F100" s="98"/>
      <c r="G100" s="98"/>
      <c r="H100" s="98"/>
      <c r="I100" s="98"/>
      <c r="J100" s="98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97"/>
      <c r="B101" s="97"/>
      <c r="C101" s="97"/>
      <c r="D101" s="97"/>
      <c r="E101" s="97"/>
      <c r="F101" s="98"/>
      <c r="G101" s="98"/>
      <c r="H101" s="98"/>
      <c r="I101" s="98"/>
      <c r="J101" s="98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97"/>
      <c r="B102" s="97"/>
      <c r="C102" s="97"/>
      <c r="D102" s="97"/>
      <c r="E102" s="97"/>
      <c r="F102" s="98"/>
      <c r="G102" s="98"/>
      <c r="H102" s="98"/>
      <c r="I102" s="98"/>
      <c r="J102" s="98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97"/>
      <c r="B103" s="97"/>
      <c r="C103" s="97"/>
      <c r="D103" s="97"/>
      <c r="E103" s="97"/>
      <c r="F103" s="98"/>
      <c r="G103" s="98"/>
      <c r="H103" s="98"/>
      <c r="I103" s="98"/>
      <c r="J103" s="98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97"/>
      <c r="B104" s="97"/>
      <c r="C104" s="97"/>
      <c r="D104" s="97"/>
      <c r="E104" s="97"/>
      <c r="F104" s="98"/>
      <c r="G104" s="98"/>
      <c r="H104" s="98"/>
      <c r="I104" s="98"/>
      <c r="J104" s="98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97"/>
      <c r="B105" s="97"/>
      <c r="C105" s="97"/>
      <c r="D105" s="97"/>
      <c r="E105" s="97"/>
      <c r="F105" s="98"/>
      <c r="G105" s="98"/>
      <c r="H105" s="98"/>
      <c r="I105" s="98"/>
      <c r="J105" s="98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97"/>
      <c r="B106" s="97"/>
      <c r="C106" s="97"/>
      <c r="D106" s="97"/>
      <c r="E106" s="97"/>
      <c r="F106" s="98"/>
      <c r="G106" s="98"/>
      <c r="H106" s="98"/>
      <c r="I106" s="98"/>
      <c r="J106" s="98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97"/>
      <c r="B107" s="97"/>
      <c r="C107" s="97"/>
      <c r="D107" s="97"/>
      <c r="E107" s="97"/>
      <c r="F107" s="98"/>
      <c r="G107" s="98"/>
      <c r="H107" s="98"/>
      <c r="I107" s="98"/>
      <c r="J107" s="98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97"/>
      <c r="B108" s="97"/>
      <c r="C108" s="97"/>
      <c r="D108" s="97"/>
      <c r="E108" s="97"/>
      <c r="F108" s="98"/>
      <c r="G108" s="98"/>
      <c r="H108" s="98"/>
      <c r="I108" s="98"/>
      <c r="J108" s="98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97"/>
      <c r="B109" s="97"/>
      <c r="C109" s="97"/>
      <c r="D109" s="97"/>
      <c r="E109" s="97"/>
      <c r="F109" s="98"/>
      <c r="G109" s="98"/>
      <c r="H109" s="98"/>
      <c r="I109" s="98"/>
      <c r="J109" s="98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97"/>
      <c r="B110" s="97"/>
      <c r="C110" s="97"/>
      <c r="D110" s="97"/>
      <c r="E110" s="97"/>
      <c r="F110" s="98"/>
      <c r="G110" s="98"/>
      <c r="H110" s="98"/>
      <c r="I110" s="98"/>
      <c r="J110" s="98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97"/>
      <c r="B111" s="97"/>
      <c r="C111" s="97"/>
      <c r="D111" s="97"/>
      <c r="E111" s="97"/>
      <c r="F111" s="98"/>
      <c r="G111" s="98"/>
      <c r="H111" s="98"/>
      <c r="I111" s="98"/>
      <c r="J111" s="98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97"/>
      <c r="B112" s="97"/>
      <c r="C112" s="97"/>
      <c r="D112" s="97"/>
      <c r="E112" s="97"/>
      <c r="F112" s="98"/>
      <c r="G112" s="98"/>
      <c r="H112" s="98"/>
      <c r="I112" s="98"/>
      <c r="J112" s="98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97"/>
      <c r="B113" s="97"/>
      <c r="C113" s="97"/>
      <c r="D113" s="97"/>
      <c r="E113" s="97"/>
      <c r="F113" s="98"/>
      <c r="G113" s="98"/>
      <c r="H113" s="98"/>
      <c r="I113" s="98"/>
      <c r="J113" s="98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97"/>
      <c r="B114" s="97"/>
      <c r="C114" s="97"/>
      <c r="D114" s="97"/>
      <c r="E114" s="97"/>
      <c r="F114" s="98"/>
      <c r="G114" s="98"/>
      <c r="H114" s="98"/>
      <c r="I114" s="98"/>
      <c r="J114" s="98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97"/>
      <c r="B115" s="97"/>
      <c r="C115" s="97"/>
      <c r="D115" s="97"/>
      <c r="E115" s="97"/>
      <c r="F115" s="98"/>
      <c r="G115" s="98"/>
      <c r="H115" s="98"/>
      <c r="I115" s="98"/>
      <c r="J115" s="98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97"/>
      <c r="B116" s="97"/>
      <c r="C116" s="97"/>
      <c r="D116" s="97"/>
      <c r="E116" s="97"/>
      <c r="F116" s="98"/>
      <c r="G116" s="98"/>
      <c r="H116" s="98"/>
      <c r="I116" s="98"/>
      <c r="J116" s="98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97"/>
      <c r="B117" s="97"/>
      <c r="C117" s="97"/>
      <c r="D117" s="97"/>
      <c r="E117" s="97"/>
      <c r="F117" s="98"/>
      <c r="G117" s="98"/>
      <c r="H117" s="98"/>
      <c r="I117" s="98"/>
      <c r="J117" s="98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97"/>
      <c r="B118" s="97"/>
      <c r="C118" s="97"/>
      <c r="D118" s="97"/>
      <c r="E118" s="97"/>
      <c r="F118" s="98"/>
      <c r="G118" s="98"/>
      <c r="H118" s="98"/>
      <c r="I118" s="98"/>
      <c r="J118" s="98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97"/>
      <c r="B119" s="97"/>
      <c r="C119" s="97"/>
      <c r="D119" s="97"/>
      <c r="E119" s="97"/>
      <c r="F119" s="98"/>
      <c r="G119" s="98"/>
      <c r="H119" s="98"/>
      <c r="I119" s="98"/>
      <c r="J119" s="98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97"/>
      <c r="B120" s="97"/>
      <c r="C120" s="97"/>
      <c r="D120" s="97"/>
      <c r="E120" s="97"/>
      <c r="F120" s="98"/>
      <c r="G120" s="98"/>
      <c r="H120" s="98"/>
      <c r="I120" s="98"/>
      <c r="J120" s="98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97"/>
      <c r="B121" s="97"/>
      <c r="C121" s="97"/>
      <c r="D121" s="97"/>
      <c r="E121" s="97"/>
      <c r="F121" s="98"/>
      <c r="G121" s="98"/>
      <c r="H121" s="98"/>
      <c r="I121" s="98"/>
      <c r="J121" s="98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97"/>
      <c r="B122" s="97"/>
      <c r="C122" s="97"/>
      <c r="D122" s="97"/>
      <c r="E122" s="97"/>
      <c r="F122" s="98"/>
      <c r="G122" s="98"/>
      <c r="H122" s="98"/>
      <c r="I122" s="98"/>
      <c r="J122" s="98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97"/>
      <c r="B123" s="97"/>
      <c r="C123" s="97"/>
      <c r="D123" s="97"/>
      <c r="E123" s="97"/>
      <c r="F123" s="98"/>
      <c r="G123" s="98"/>
      <c r="H123" s="98"/>
      <c r="I123" s="98"/>
      <c r="J123" s="98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97"/>
      <c r="B124" s="97"/>
      <c r="C124" s="97"/>
      <c r="D124" s="97"/>
      <c r="E124" s="97"/>
      <c r="F124" s="98"/>
      <c r="G124" s="98"/>
      <c r="H124" s="98"/>
      <c r="I124" s="98"/>
      <c r="J124" s="98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97"/>
      <c r="B125" s="97"/>
      <c r="C125" s="97"/>
      <c r="D125" s="97"/>
      <c r="E125" s="97"/>
      <c r="F125" s="98"/>
      <c r="G125" s="98"/>
      <c r="H125" s="98"/>
      <c r="I125" s="98"/>
      <c r="J125" s="98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97"/>
      <c r="B126" s="97"/>
      <c r="C126" s="97"/>
      <c r="D126" s="97"/>
      <c r="E126" s="97"/>
      <c r="F126" s="98"/>
      <c r="G126" s="98"/>
      <c r="H126" s="98"/>
      <c r="I126" s="98"/>
      <c r="J126" s="98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97"/>
      <c r="B127" s="97"/>
      <c r="C127" s="97"/>
      <c r="D127" s="97"/>
      <c r="E127" s="97"/>
      <c r="F127" s="98"/>
      <c r="G127" s="98"/>
      <c r="H127" s="98"/>
      <c r="I127" s="98"/>
      <c r="J127" s="98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97"/>
      <c r="B128" s="97"/>
      <c r="C128" s="97"/>
      <c r="D128" s="97"/>
      <c r="E128" s="97"/>
      <c r="F128" s="98"/>
      <c r="G128" s="98"/>
      <c r="H128" s="98"/>
      <c r="I128" s="98"/>
      <c r="J128" s="98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97"/>
      <c r="B129" s="97"/>
      <c r="C129" s="97"/>
      <c r="D129" s="97"/>
      <c r="E129" s="97"/>
      <c r="F129" s="98"/>
      <c r="G129" s="98"/>
      <c r="H129" s="98"/>
      <c r="I129" s="98"/>
      <c r="J129" s="98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97"/>
      <c r="B130" s="97"/>
      <c r="C130" s="97"/>
      <c r="D130" s="97"/>
      <c r="E130" s="97"/>
      <c r="F130" s="98"/>
      <c r="G130" s="98"/>
      <c r="H130" s="98"/>
      <c r="I130" s="98"/>
      <c r="J130" s="98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97"/>
      <c r="B131" s="97"/>
      <c r="C131" s="97"/>
      <c r="D131" s="97"/>
      <c r="E131" s="97"/>
      <c r="F131" s="98"/>
      <c r="G131" s="98"/>
      <c r="H131" s="98"/>
      <c r="I131" s="98"/>
      <c r="J131" s="98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97"/>
      <c r="B132" s="97"/>
      <c r="C132" s="97"/>
      <c r="D132" s="97"/>
      <c r="E132" s="97"/>
      <c r="F132" s="98"/>
      <c r="G132" s="98"/>
      <c r="H132" s="98"/>
      <c r="I132" s="98"/>
      <c r="J132" s="98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97"/>
      <c r="B133" s="97"/>
      <c r="C133" s="97"/>
      <c r="D133" s="97"/>
      <c r="E133" s="97"/>
      <c r="F133" s="98"/>
      <c r="G133" s="98"/>
      <c r="H133" s="98"/>
      <c r="I133" s="98"/>
      <c r="J133" s="98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97"/>
      <c r="B134" s="97"/>
      <c r="C134" s="97"/>
      <c r="D134" s="97"/>
      <c r="E134" s="97"/>
      <c r="F134" s="98"/>
      <c r="G134" s="98"/>
      <c r="H134" s="98"/>
      <c r="I134" s="98"/>
      <c r="J134" s="98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97"/>
      <c r="B135" s="97"/>
      <c r="C135" s="97"/>
      <c r="D135" s="97"/>
      <c r="E135" s="97"/>
      <c r="F135" s="98"/>
      <c r="G135" s="98"/>
      <c r="H135" s="98"/>
      <c r="I135" s="98"/>
      <c r="J135" s="98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97"/>
      <c r="B136" s="97"/>
      <c r="C136" s="97"/>
      <c r="D136" s="97"/>
      <c r="E136" s="97"/>
      <c r="F136" s="98"/>
      <c r="G136" s="98"/>
      <c r="H136" s="98"/>
      <c r="I136" s="98"/>
      <c r="J136" s="98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97"/>
      <c r="B137" s="97"/>
      <c r="C137" s="97"/>
      <c r="D137" s="97"/>
      <c r="E137" s="97"/>
      <c r="F137" s="98"/>
      <c r="G137" s="98"/>
      <c r="H137" s="98"/>
      <c r="I137" s="98"/>
      <c r="J137" s="98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97"/>
      <c r="B138" s="97"/>
      <c r="C138" s="97"/>
      <c r="D138" s="97"/>
      <c r="E138" s="97"/>
      <c r="F138" s="98"/>
      <c r="G138" s="98"/>
      <c r="H138" s="98"/>
      <c r="I138" s="98"/>
      <c r="J138" s="98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97"/>
      <c r="B139" s="97"/>
      <c r="C139" s="97"/>
      <c r="D139" s="97"/>
      <c r="E139" s="97"/>
      <c r="F139" s="98"/>
      <c r="G139" s="98"/>
      <c r="H139" s="98"/>
      <c r="I139" s="98"/>
      <c r="J139" s="98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97"/>
      <c r="B140" s="97"/>
      <c r="C140" s="97"/>
      <c r="D140" s="97"/>
      <c r="E140" s="97"/>
      <c r="F140" s="98"/>
      <c r="G140" s="98"/>
      <c r="H140" s="98"/>
      <c r="I140" s="98"/>
      <c r="J140" s="98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97"/>
      <c r="B141" s="97"/>
      <c r="C141" s="97"/>
      <c r="D141" s="97"/>
      <c r="E141" s="97"/>
      <c r="F141" s="98"/>
      <c r="G141" s="98"/>
      <c r="H141" s="98"/>
      <c r="I141" s="98"/>
      <c r="J141" s="98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97"/>
      <c r="B142" s="97"/>
      <c r="C142" s="97"/>
      <c r="D142" s="97"/>
      <c r="E142" s="97"/>
      <c r="F142" s="98"/>
      <c r="G142" s="98"/>
      <c r="H142" s="98"/>
      <c r="I142" s="98"/>
      <c r="J142" s="98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97"/>
      <c r="B143" s="97"/>
      <c r="C143" s="97"/>
      <c r="D143" s="97"/>
      <c r="E143" s="97"/>
      <c r="F143" s="98"/>
      <c r="G143" s="98"/>
      <c r="H143" s="98"/>
      <c r="I143" s="98"/>
      <c r="J143" s="98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97"/>
      <c r="B144" s="97"/>
      <c r="C144" s="97"/>
      <c r="D144" s="97"/>
      <c r="E144" s="97"/>
      <c r="F144" s="98"/>
      <c r="G144" s="98"/>
      <c r="H144" s="98"/>
      <c r="I144" s="98"/>
      <c r="J144" s="98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97"/>
      <c r="B145" s="97"/>
      <c r="C145" s="97"/>
      <c r="D145" s="97"/>
      <c r="E145" s="97"/>
      <c r="F145" s="98"/>
      <c r="G145" s="98"/>
      <c r="H145" s="98"/>
      <c r="I145" s="98"/>
      <c r="J145" s="98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97"/>
      <c r="B146" s="97"/>
      <c r="C146" s="97"/>
      <c r="D146" s="97"/>
      <c r="E146" s="97"/>
      <c r="F146" s="98"/>
      <c r="G146" s="98"/>
      <c r="H146" s="98"/>
      <c r="I146" s="98"/>
      <c r="J146" s="98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97"/>
      <c r="B147" s="97"/>
      <c r="C147" s="97"/>
      <c r="D147" s="97"/>
      <c r="E147" s="97"/>
      <c r="F147" s="98"/>
      <c r="G147" s="98"/>
      <c r="H147" s="98"/>
      <c r="I147" s="98"/>
      <c r="J147" s="98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97"/>
      <c r="B148" s="97"/>
      <c r="C148" s="97"/>
      <c r="D148" s="97"/>
      <c r="E148" s="97"/>
      <c r="F148" s="98"/>
      <c r="G148" s="98"/>
      <c r="H148" s="98"/>
      <c r="I148" s="98"/>
      <c r="J148" s="98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97"/>
      <c r="B149" s="97"/>
      <c r="C149" s="97"/>
      <c r="D149" s="97"/>
      <c r="E149" s="97"/>
      <c r="F149" s="98"/>
      <c r="G149" s="98"/>
      <c r="H149" s="98"/>
      <c r="I149" s="98"/>
      <c r="J149" s="98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97"/>
      <c r="B150" s="97"/>
      <c r="C150" s="97"/>
      <c r="D150" s="97"/>
      <c r="E150" s="97"/>
      <c r="F150" s="98"/>
      <c r="G150" s="98"/>
      <c r="H150" s="98"/>
      <c r="I150" s="98"/>
      <c r="J150" s="98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97"/>
      <c r="B151" s="97"/>
      <c r="C151" s="97"/>
      <c r="D151" s="97"/>
      <c r="E151" s="97"/>
      <c r="F151" s="98"/>
      <c r="G151" s="98"/>
      <c r="H151" s="98"/>
      <c r="I151" s="98"/>
      <c r="J151" s="98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97"/>
      <c r="B152" s="97"/>
      <c r="C152" s="97"/>
      <c r="D152" s="97"/>
      <c r="E152" s="97"/>
      <c r="F152" s="98"/>
      <c r="G152" s="98"/>
      <c r="H152" s="98"/>
      <c r="I152" s="98"/>
      <c r="J152" s="98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97"/>
      <c r="B153" s="97"/>
      <c r="C153" s="97"/>
      <c r="D153" s="97"/>
      <c r="E153" s="97"/>
      <c r="F153" s="98"/>
      <c r="G153" s="98"/>
      <c r="H153" s="98"/>
      <c r="I153" s="98"/>
      <c r="J153" s="98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97"/>
      <c r="B154" s="97"/>
      <c r="C154" s="97"/>
      <c r="D154" s="97"/>
      <c r="E154" s="97"/>
      <c r="F154" s="98"/>
      <c r="G154" s="98"/>
      <c r="H154" s="98"/>
      <c r="I154" s="98"/>
      <c r="J154" s="98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97"/>
      <c r="B155" s="97"/>
      <c r="C155" s="97"/>
      <c r="D155" s="97"/>
      <c r="E155" s="97"/>
      <c r="F155" s="98"/>
      <c r="G155" s="98"/>
      <c r="H155" s="98"/>
      <c r="I155" s="98"/>
      <c r="J155" s="98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97"/>
      <c r="B156" s="97"/>
      <c r="C156" s="97"/>
      <c r="D156" s="97"/>
      <c r="E156" s="97"/>
      <c r="F156" s="98"/>
      <c r="G156" s="98"/>
      <c r="H156" s="98"/>
      <c r="I156" s="98"/>
      <c r="J156" s="98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97"/>
      <c r="B157" s="97"/>
      <c r="C157" s="97"/>
      <c r="D157" s="97"/>
      <c r="E157" s="97"/>
      <c r="F157" s="98"/>
      <c r="G157" s="98"/>
      <c r="H157" s="98"/>
      <c r="I157" s="98"/>
      <c r="J157" s="98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97"/>
      <c r="B158" s="97"/>
      <c r="C158" s="97"/>
      <c r="D158" s="97"/>
      <c r="E158" s="97"/>
      <c r="F158" s="98"/>
      <c r="G158" s="98"/>
      <c r="H158" s="98"/>
      <c r="I158" s="98"/>
      <c r="J158" s="98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97"/>
      <c r="B159" s="97"/>
      <c r="C159" s="97"/>
      <c r="D159" s="97"/>
      <c r="E159" s="97"/>
      <c r="F159" s="98"/>
      <c r="G159" s="98"/>
      <c r="H159" s="98"/>
      <c r="I159" s="98"/>
      <c r="J159" s="98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97"/>
      <c r="B160" s="97"/>
      <c r="C160" s="97"/>
      <c r="D160" s="97"/>
      <c r="E160" s="97"/>
      <c r="F160" s="98"/>
      <c r="G160" s="98"/>
      <c r="H160" s="98"/>
      <c r="I160" s="98"/>
      <c r="J160" s="98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97"/>
      <c r="B161" s="97"/>
      <c r="C161" s="97"/>
      <c r="D161" s="97"/>
      <c r="E161" s="97"/>
      <c r="F161" s="98"/>
      <c r="G161" s="98"/>
      <c r="H161" s="98"/>
      <c r="I161" s="98"/>
      <c r="J161" s="98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97"/>
      <c r="B162" s="97"/>
      <c r="C162" s="97"/>
      <c r="D162" s="97"/>
      <c r="E162" s="97"/>
      <c r="F162" s="98"/>
      <c r="G162" s="98"/>
      <c r="H162" s="98"/>
      <c r="I162" s="98"/>
      <c r="J162" s="98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97"/>
      <c r="B163" s="97"/>
      <c r="C163" s="97"/>
      <c r="D163" s="97"/>
      <c r="E163" s="97"/>
      <c r="F163" s="98"/>
      <c r="G163" s="98"/>
      <c r="H163" s="98"/>
      <c r="I163" s="98"/>
      <c r="J163" s="98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97"/>
      <c r="B164" s="97"/>
      <c r="C164" s="97"/>
      <c r="D164" s="97"/>
      <c r="E164" s="97"/>
      <c r="F164" s="98"/>
      <c r="G164" s="98"/>
      <c r="H164" s="98"/>
      <c r="I164" s="98"/>
      <c r="J164" s="98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97"/>
      <c r="B165" s="97"/>
      <c r="C165" s="97"/>
      <c r="D165" s="97"/>
      <c r="E165" s="97"/>
      <c r="F165" s="98"/>
      <c r="G165" s="98"/>
      <c r="H165" s="98"/>
      <c r="I165" s="98"/>
      <c r="J165" s="98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97"/>
      <c r="B166" s="97"/>
      <c r="C166" s="97"/>
      <c r="D166" s="97"/>
      <c r="E166" s="97"/>
      <c r="F166" s="98"/>
      <c r="G166" s="98"/>
      <c r="H166" s="98"/>
      <c r="I166" s="98"/>
      <c r="J166" s="98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97"/>
      <c r="B167" s="97"/>
      <c r="C167" s="97"/>
      <c r="D167" s="97"/>
      <c r="E167" s="97"/>
      <c r="F167" s="98"/>
      <c r="G167" s="98"/>
      <c r="H167" s="98"/>
      <c r="I167" s="98"/>
      <c r="J167" s="98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97"/>
      <c r="B168" s="97"/>
      <c r="C168" s="97"/>
      <c r="D168" s="97"/>
      <c r="E168" s="97"/>
      <c r="F168" s="98"/>
      <c r="G168" s="98"/>
      <c r="H168" s="98"/>
      <c r="I168" s="98"/>
      <c r="J168" s="98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97"/>
      <c r="B169" s="97"/>
      <c r="C169" s="97"/>
      <c r="D169" s="97"/>
      <c r="E169" s="97"/>
      <c r="F169" s="98"/>
      <c r="G169" s="98"/>
      <c r="H169" s="98"/>
      <c r="I169" s="98"/>
      <c r="J169" s="98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97"/>
      <c r="B170" s="97"/>
      <c r="C170" s="97"/>
      <c r="D170" s="97"/>
      <c r="E170" s="97"/>
      <c r="F170" s="98"/>
      <c r="G170" s="98"/>
      <c r="H170" s="98"/>
      <c r="I170" s="98"/>
      <c r="J170" s="98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97"/>
      <c r="B171" s="97"/>
      <c r="C171" s="97"/>
      <c r="D171" s="97"/>
      <c r="E171" s="97"/>
      <c r="F171" s="98"/>
      <c r="G171" s="98"/>
      <c r="H171" s="98"/>
      <c r="I171" s="98"/>
      <c r="J171" s="98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97"/>
      <c r="B172" s="97"/>
      <c r="C172" s="97"/>
      <c r="D172" s="97"/>
      <c r="E172" s="97"/>
      <c r="F172" s="98"/>
      <c r="G172" s="98"/>
      <c r="H172" s="98"/>
      <c r="I172" s="98"/>
      <c r="J172" s="98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97"/>
      <c r="B173" s="97"/>
      <c r="C173" s="97"/>
      <c r="D173" s="97"/>
      <c r="E173" s="97"/>
      <c r="F173" s="98"/>
      <c r="G173" s="98"/>
      <c r="H173" s="98"/>
      <c r="I173" s="98"/>
      <c r="J173" s="98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97"/>
      <c r="B174" s="97"/>
      <c r="C174" s="97"/>
      <c r="D174" s="97"/>
      <c r="E174" s="97"/>
      <c r="F174" s="98"/>
      <c r="G174" s="98"/>
      <c r="H174" s="98"/>
      <c r="I174" s="98"/>
      <c r="J174" s="98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97"/>
      <c r="B175" s="97"/>
      <c r="C175" s="97"/>
      <c r="D175" s="97"/>
      <c r="E175" s="97"/>
      <c r="F175" s="98"/>
      <c r="G175" s="98"/>
      <c r="H175" s="98"/>
      <c r="I175" s="98"/>
      <c r="J175" s="98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97"/>
      <c r="B176" s="97"/>
      <c r="C176" s="97"/>
      <c r="D176" s="97"/>
      <c r="E176" s="97"/>
      <c r="F176" s="98"/>
      <c r="G176" s="98"/>
      <c r="H176" s="98"/>
      <c r="I176" s="98"/>
      <c r="J176" s="98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97"/>
      <c r="B177" s="97"/>
      <c r="C177" s="97"/>
      <c r="D177" s="97"/>
      <c r="E177" s="97"/>
      <c r="F177" s="98"/>
      <c r="G177" s="98"/>
      <c r="H177" s="98"/>
      <c r="I177" s="98"/>
      <c r="J177" s="98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97"/>
      <c r="B178" s="97"/>
      <c r="C178" s="97"/>
      <c r="D178" s="97"/>
      <c r="E178" s="97"/>
      <c r="F178" s="98"/>
      <c r="G178" s="98"/>
      <c r="H178" s="98"/>
      <c r="I178" s="98"/>
      <c r="J178" s="98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97"/>
      <c r="B179" s="97"/>
      <c r="C179" s="97"/>
      <c r="D179" s="97"/>
      <c r="E179" s="97"/>
      <c r="F179" s="98"/>
      <c r="G179" s="98"/>
      <c r="H179" s="98"/>
      <c r="I179" s="98"/>
      <c r="J179" s="98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97"/>
      <c r="B180" s="97"/>
      <c r="C180" s="97"/>
      <c r="D180" s="97"/>
      <c r="E180" s="97"/>
      <c r="F180" s="98"/>
      <c r="G180" s="98"/>
      <c r="H180" s="98"/>
      <c r="I180" s="98"/>
      <c r="J180" s="98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97"/>
      <c r="B181" s="97"/>
      <c r="C181" s="97"/>
      <c r="D181" s="97"/>
      <c r="E181" s="97"/>
      <c r="F181" s="98"/>
      <c r="G181" s="98"/>
      <c r="H181" s="98"/>
      <c r="I181" s="98"/>
      <c r="J181" s="98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97"/>
      <c r="B182" s="97"/>
      <c r="C182" s="97"/>
      <c r="D182" s="97"/>
      <c r="E182" s="97"/>
      <c r="F182" s="98"/>
      <c r="G182" s="98"/>
      <c r="H182" s="98"/>
      <c r="I182" s="98"/>
      <c r="J182" s="98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97"/>
      <c r="B183" s="97"/>
      <c r="C183" s="97"/>
      <c r="D183" s="97"/>
      <c r="E183" s="97"/>
      <c r="F183" s="98"/>
      <c r="G183" s="98"/>
      <c r="H183" s="98"/>
      <c r="I183" s="98"/>
      <c r="J183" s="98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97"/>
      <c r="B184" s="97"/>
      <c r="C184" s="97"/>
      <c r="D184" s="97"/>
      <c r="E184" s="97"/>
      <c r="F184" s="98"/>
      <c r="G184" s="98"/>
      <c r="H184" s="98"/>
      <c r="I184" s="98"/>
      <c r="J184" s="98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97"/>
      <c r="B185" s="97"/>
      <c r="C185" s="97"/>
      <c r="D185" s="97"/>
      <c r="E185" s="97"/>
      <c r="F185" s="98"/>
      <c r="G185" s="98"/>
      <c r="H185" s="98"/>
      <c r="I185" s="98"/>
      <c r="J185" s="98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97"/>
      <c r="B186" s="97"/>
      <c r="C186" s="97"/>
      <c r="D186" s="97"/>
      <c r="E186" s="97"/>
      <c r="F186" s="98"/>
      <c r="G186" s="98"/>
      <c r="H186" s="98"/>
      <c r="I186" s="98"/>
      <c r="J186" s="98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97"/>
      <c r="B187" s="97"/>
      <c r="C187" s="97"/>
      <c r="D187" s="97"/>
      <c r="E187" s="97"/>
      <c r="F187" s="98"/>
      <c r="G187" s="98"/>
      <c r="H187" s="98"/>
      <c r="I187" s="98"/>
      <c r="J187" s="98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97"/>
      <c r="B188" s="97"/>
      <c r="C188" s="97"/>
      <c r="D188" s="97"/>
      <c r="E188" s="97"/>
      <c r="F188" s="98"/>
      <c r="G188" s="98"/>
      <c r="H188" s="98"/>
      <c r="I188" s="98"/>
      <c r="J188" s="98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97"/>
      <c r="B189" s="97"/>
      <c r="C189" s="97"/>
      <c r="D189" s="97"/>
      <c r="E189" s="97"/>
      <c r="F189" s="98"/>
      <c r="G189" s="98"/>
      <c r="H189" s="98"/>
      <c r="I189" s="98"/>
      <c r="J189" s="98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97"/>
      <c r="B190" s="97"/>
      <c r="C190" s="97"/>
      <c r="D190" s="97"/>
      <c r="E190" s="97"/>
      <c r="F190" s="98"/>
      <c r="G190" s="98"/>
      <c r="H190" s="98"/>
      <c r="I190" s="98"/>
      <c r="J190" s="98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97"/>
      <c r="B191" s="97"/>
      <c r="C191" s="97"/>
      <c r="D191" s="97"/>
      <c r="E191" s="97"/>
      <c r="F191" s="98"/>
      <c r="G191" s="98"/>
      <c r="H191" s="98"/>
      <c r="I191" s="98"/>
      <c r="J191" s="98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97"/>
      <c r="B192" s="97"/>
      <c r="C192" s="97"/>
      <c r="D192" s="97"/>
      <c r="E192" s="97"/>
      <c r="F192" s="98"/>
      <c r="G192" s="98"/>
      <c r="H192" s="98"/>
      <c r="I192" s="98"/>
      <c r="J192" s="98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97"/>
      <c r="B193" s="97"/>
      <c r="C193" s="97"/>
      <c r="D193" s="97"/>
      <c r="E193" s="97"/>
      <c r="F193" s="98"/>
      <c r="G193" s="98"/>
      <c r="H193" s="98"/>
      <c r="I193" s="98"/>
      <c r="J193" s="98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97"/>
      <c r="B194" s="97"/>
      <c r="C194" s="97"/>
      <c r="D194" s="97"/>
      <c r="E194" s="97"/>
      <c r="F194" s="98"/>
      <c r="G194" s="98"/>
      <c r="H194" s="98"/>
      <c r="I194" s="98"/>
      <c r="J194" s="98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97"/>
      <c r="B195" s="97"/>
      <c r="C195" s="97"/>
      <c r="D195" s="97"/>
      <c r="E195" s="97"/>
      <c r="F195" s="98"/>
      <c r="G195" s="98"/>
      <c r="H195" s="98"/>
      <c r="I195" s="98"/>
      <c r="J195" s="98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97"/>
      <c r="B196" s="97"/>
      <c r="C196" s="97"/>
      <c r="D196" s="97"/>
      <c r="E196" s="97"/>
      <c r="F196" s="98"/>
      <c r="G196" s="98"/>
      <c r="H196" s="98"/>
      <c r="I196" s="98"/>
      <c r="J196" s="98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97"/>
      <c r="B197" s="97"/>
      <c r="C197" s="97"/>
      <c r="D197" s="97"/>
      <c r="E197" s="97"/>
      <c r="F197" s="98"/>
      <c r="G197" s="98"/>
      <c r="H197" s="98"/>
      <c r="I197" s="98"/>
      <c r="J197" s="98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97"/>
      <c r="B198" s="97"/>
      <c r="C198" s="97"/>
      <c r="D198" s="97"/>
      <c r="E198" s="97"/>
      <c r="F198" s="98"/>
      <c r="G198" s="98"/>
      <c r="H198" s="98"/>
      <c r="I198" s="98"/>
      <c r="J198" s="98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97"/>
      <c r="B199" s="97"/>
      <c r="C199" s="97"/>
      <c r="D199" s="97"/>
      <c r="E199" s="97"/>
      <c r="F199" s="98"/>
      <c r="G199" s="98"/>
      <c r="H199" s="98"/>
      <c r="I199" s="98"/>
      <c r="J199" s="98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97"/>
      <c r="B200" s="97"/>
      <c r="C200" s="97"/>
      <c r="D200" s="97"/>
      <c r="E200" s="97"/>
      <c r="F200" s="98"/>
      <c r="G200" s="98"/>
      <c r="H200" s="98"/>
      <c r="I200" s="98"/>
      <c r="J200" s="98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97"/>
      <c r="B201" s="97"/>
      <c r="C201" s="97"/>
      <c r="D201" s="97"/>
      <c r="E201" s="97"/>
      <c r="F201" s="98"/>
      <c r="G201" s="98"/>
      <c r="H201" s="98"/>
      <c r="I201" s="98"/>
      <c r="J201" s="98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97"/>
      <c r="B202" s="97"/>
      <c r="C202" s="97"/>
      <c r="D202" s="97"/>
      <c r="E202" s="97"/>
      <c r="F202" s="98"/>
      <c r="G202" s="98"/>
      <c r="H202" s="98"/>
      <c r="I202" s="98"/>
      <c r="J202" s="98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97"/>
      <c r="B203" s="97"/>
      <c r="C203" s="97"/>
      <c r="D203" s="97"/>
      <c r="E203" s="97"/>
      <c r="F203" s="98"/>
      <c r="G203" s="98"/>
      <c r="H203" s="98"/>
      <c r="I203" s="98"/>
      <c r="J203" s="98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97"/>
      <c r="B204" s="97"/>
      <c r="C204" s="97"/>
      <c r="D204" s="97"/>
      <c r="E204" s="97"/>
      <c r="F204" s="98"/>
      <c r="G204" s="98"/>
      <c r="H204" s="98"/>
      <c r="I204" s="98"/>
      <c r="J204" s="98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97"/>
      <c r="B205" s="97"/>
      <c r="C205" s="97"/>
      <c r="D205" s="97"/>
      <c r="E205" s="97"/>
      <c r="F205" s="98"/>
      <c r="G205" s="98"/>
      <c r="H205" s="98"/>
      <c r="I205" s="98"/>
      <c r="J205" s="98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97"/>
      <c r="B206" s="97"/>
      <c r="C206" s="97"/>
      <c r="D206" s="97"/>
      <c r="E206" s="97"/>
      <c r="F206" s="98"/>
      <c r="G206" s="98"/>
      <c r="H206" s="98"/>
      <c r="I206" s="98"/>
      <c r="J206" s="98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97"/>
      <c r="B207" s="97"/>
      <c r="C207" s="97"/>
      <c r="D207" s="97"/>
      <c r="E207" s="97"/>
      <c r="F207" s="98"/>
      <c r="G207" s="98"/>
      <c r="H207" s="98"/>
      <c r="I207" s="98"/>
      <c r="J207" s="98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97"/>
      <c r="B208" s="97"/>
      <c r="C208" s="97"/>
      <c r="D208" s="97"/>
      <c r="E208" s="97"/>
      <c r="F208" s="98"/>
      <c r="G208" s="98"/>
      <c r="H208" s="98"/>
      <c r="I208" s="98"/>
      <c r="J208" s="98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97"/>
      <c r="B209" s="97"/>
      <c r="C209" s="97"/>
      <c r="D209" s="97"/>
      <c r="E209" s="97"/>
      <c r="F209" s="98"/>
      <c r="G209" s="98"/>
      <c r="H209" s="98"/>
      <c r="I209" s="98"/>
      <c r="J209" s="98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97"/>
      <c r="B210" s="97"/>
      <c r="C210" s="97"/>
      <c r="D210" s="97"/>
      <c r="E210" s="97"/>
      <c r="F210" s="98"/>
      <c r="G210" s="98"/>
      <c r="H210" s="98"/>
      <c r="I210" s="98"/>
      <c r="J210" s="98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97"/>
      <c r="B211" s="97"/>
      <c r="C211" s="97"/>
      <c r="D211" s="97"/>
      <c r="E211" s="97"/>
      <c r="F211" s="98"/>
      <c r="G211" s="98"/>
      <c r="H211" s="98"/>
      <c r="I211" s="98"/>
      <c r="J211" s="98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97"/>
      <c r="B212" s="97"/>
      <c r="C212" s="97"/>
      <c r="D212" s="97"/>
      <c r="E212" s="97"/>
      <c r="F212" s="98"/>
      <c r="G212" s="98"/>
      <c r="H212" s="98"/>
      <c r="I212" s="98"/>
      <c r="J212" s="98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97"/>
      <c r="B213" s="97"/>
      <c r="C213" s="97"/>
      <c r="D213" s="97"/>
      <c r="E213" s="97"/>
      <c r="F213" s="98"/>
      <c r="G213" s="98"/>
      <c r="H213" s="98"/>
      <c r="I213" s="98"/>
      <c r="J213" s="98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97"/>
      <c r="B214" s="97"/>
      <c r="C214" s="97"/>
      <c r="D214" s="97"/>
      <c r="E214" s="97"/>
      <c r="F214" s="98"/>
      <c r="G214" s="98"/>
      <c r="H214" s="98"/>
      <c r="I214" s="98"/>
      <c r="J214" s="98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97"/>
      <c r="B215" s="97"/>
      <c r="C215" s="97"/>
      <c r="D215" s="97"/>
      <c r="E215" s="97"/>
      <c r="F215" s="98"/>
      <c r="G215" s="98"/>
      <c r="H215" s="98"/>
      <c r="I215" s="98"/>
      <c r="J215" s="98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97"/>
      <c r="B216" s="97"/>
      <c r="C216" s="97"/>
      <c r="D216" s="97"/>
      <c r="E216" s="97"/>
      <c r="F216" s="98"/>
      <c r="G216" s="98"/>
      <c r="H216" s="98"/>
      <c r="I216" s="98"/>
      <c r="J216" s="98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97"/>
      <c r="B217" s="97"/>
      <c r="C217" s="97"/>
      <c r="D217" s="97"/>
      <c r="E217" s="97"/>
      <c r="F217" s="98"/>
      <c r="G217" s="98"/>
      <c r="H217" s="98"/>
      <c r="I217" s="98"/>
      <c r="J217" s="98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97"/>
      <c r="B218" s="97"/>
      <c r="C218" s="97"/>
      <c r="D218" s="97"/>
      <c r="E218" s="97"/>
      <c r="F218" s="98"/>
      <c r="G218" s="98"/>
      <c r="H218" s="98"/>
      <c r="I218" s="98"/>
      <c r="J218" s="98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97"/>
      <c r="B219" s="97"/>
      <c r="C219" s="97"/>
      <c r="D219" s="97"/>
      <c r="E219" s="97"/>
      <c r="F219" s="98"/>
      <c r="G219" s="98"/>
      <c r="H219" s="98"/>
      <c r="I219" s="98"/>
      <c r="J219" s="98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97"/>
      <c r="B220" s="97"/>
      <c r="C220" s="97"/>
      <c r="D220" s="97"/>
      <c r="E220" s="97"/>
      <c r="F220" s="98"/>
      <c r="G220" s="98"/>
      <c r="H220" s="98"/>
      <c r="I220" s="98"/>
      <c r="J220" s="98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97"/>
      <c r="B221" s="97"/>
      <c r="C221" s="97"/>
      <c r="D221" s="97"/>
      <c r="E221" s="97"/>
      <c r="F221" s="98"/>
      <c r="G221" s="98"/>
      <c r="H221" s="98"/>
      <c r="I221" s="98"/>
      <c r="J221" s="98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97"/>
      <c r="B222" s="97"/>
      <c r="C222" s="97"/>
      <c r="D222" s="97"/>
      <c r="E222" s="97"/>
      <c r="F222" s="98"/>
      <c r="G222" s="98"/>
      <c r="H222" s="98"/>
      <c r="I222" s="98"/>
      <c r="J222" s="98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97"/>
      <c r="B223" s="97"/>
      <c r="C223" s="97"/>
      <c r="D223" s="97"/>
      <c r="E223" s="97"/>
      <c r="F223" s="98"/>
      <c r="G223" s="98"/>
      <c r="H223" s="98"/>
      <c r="I223" s="98"/>
      <c r="J223" s="98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97"/>
      <c r="B224" s="97"/>
      <c r="C224" s="97"/>
      <c r="D224" s="97"/>
      <c r="E224" s="97"/>
      <c r="F224" s="98"/>
      <c r="G224" s="98"/>
      <c r="H224" s="98"/>
      <c r="I224" s="98"/>
      <c r="J224" s="98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97"/>
      <c r="B225" s="97"/>
      <c r="C225" s="97"/>
      <c r="D225" s="97"/>
      <c r="E225" s="97"/>
      <c r="F225" s="98"/>
      <c r="G225" s="98"/>
      <c r="H225" s="98"/>
      <c r="I225" s="98"/>
      <c r="J225" s="98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97"/>
      <c r="B226" s="97"/>
      <c r="C226" s="97"/>
      <c r="D226" s="97"/>
      <c r="E226" s="97"/>
      <c r="F226" s="98"/>
      <c r="G226" s="98"/>
      <c r="H226" s="98"/>
      <c r="I226" s="98"/>
      <c r="J226" s="98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97"/>
      <c r="B227" s="97"/>
      <c r="C227" s="97"/>
      <c r="D227" s="97"/>
      <c r="E227" s="97"/>
      <c r="F227" s="98"/>
      <c r="G227" s="98"/>
      <c r="H227" s="98"/>
      <c r="I227" s="98"/>
      <c r="J227" s="98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97"/>
      <c r="B228" s="97"/>
      <c r="C228" s="97"/>
      <c r="D228" s="97"/>
      <c r="E228" s="97"/>
      <c r="F228" s="98"/>
      <c r="G228" s="98"/>
      <c r="H228" s="98"/>
      <c r="I228" s="98"/>
      <c r="J228" s="98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97"/>
      <c r="B229" s="97"/>
      <c r="C229" s="97"/>
      <c r="D229" s="97"/>
      <c r="E229" s="97"/>
      <c r="F229" s="98"/>
      <c r="G229" s="98"/>
      <c r="H229" s="98"/>
      <c r="I229" s="98"/>
      <c r="J229" s="98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97"/>
      <c r="B230" s="97"/>
      <c r="C230" s="97"/>
      <c r="D230" s="97"/>
      <c r="E230" s="97"/>
      <c r="F230" s="98"/>
      <c r="G230" s="98"/>
      <c r="H230" s="98"/>
      <c r="I230" s="98"/>
      <c r="J230" s="98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97"/>
      <c r="B231" s="97"/>
      <c r="C231" s="97"/>
      <c r="D231" s="97"/>
      <c r="E231" s="97"/>
      <c r="F231" s="98"/>
      <c r="G231" s="98"/>
      <c r="H231" s="98"/>
      <c r="I231" s="98"/>
      <c r="J231" s="98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97"/>
      <c r="B232" s="97"/>
      <c r="C232" s="97"/>
      <c r="D232" s="97"/>
      <c r="E232" s="97"/>
      <c r="F232" s="98"/>
      <c r="G232" s="98"/>
      <c r="H232" s="98"/>
      <c r="I232" s="98"/>
      <c r="J232" s="98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97"/>
      <c r="B233" s="97"/>
      <c r="C233" s="97"/>
      <c r="D233" s="97"/>
      <c r="E233" s="97"/>
      <c r="F233" s="98"/>
      <c r="G233" s="98"/>
      <c r="H233" s="98"/>
      <c r="I233" s="98"/>
      <c r="J233" s="98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97"/>
      <c r="B234" s="97"/>
      <c r="C234" s="97"/>
      <c r="D234" s="97"/>
      <c r="E234" s="97"/>
      <c r="F234" s="98"/>
      <c r="G234" s="98"/>
      <c r="H234" s="98"/>
      <c r="I234" s="98"/>
      <c r="J234" s="98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97"/>
      <c r="B235" s="97"/>
      <c r="C235" s="97"/>
      <c r="D235" s="97"/>
      <c r="E235" s="97"/>
      <c r="F235" s="98"/>
      <c r="G235" s="98"/>
      <c r="H235" s="98"/>
      <c r="I235" s="98"/>
      <c r="J235" s="98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97"/>
      <c r="B236" s="97"/>
      <c r="C236" s="97"/>
      <c r="D236" s="97"/>
      <c r="E236" s="97"/>
      <c r="F236" s="98"/>
      <c r="G236" s="98"/>
      <c r="H236" s="98"/>
      <c r="I236" s="98"/>
      <c r="J236" s="98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97"/>
      <c r="B237" s="97"/>
      <c r="C237" s="97"/>
      <c r="D237" s="97"/>
      <c r="E237" s="97"/>
      <c r="F237" s="98"/>
      <c r="G237" s="98"/>
      <c r="H237" s="98"/>
      <c r="I237" s="98"/>
      <c r="J237" s="98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97"/>
      <c r="B238" s="97"/>
      <c r="C238" s="97"/>
      <c r="D238" s="97"/>
      <c r="E238" s="97"/>
      <c r="F238" s="98"/>
      <c r="G238" s="98"/>
      <c r="H238" s="98"/>
      <c r="I238" s="98"/>
      <c r="J238" s="98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97"/>
      <c r="B239" s="97"/>
      <c r="C239" s="97"/>
      <c r="D239" s="97"/>
      <c r="E239" s="97"/>
      <c r="F239" s="98"/>
      <c r="G239" s="98"/>
      <c r="H239" s="98"/>
      <c r="I239" s="98"/>
      <c r="J239" s="98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97"/>
      <c r="B240" s="97"/>
      <c r="C240" s="97"/>
      <c r="D240" s="97"/>
      <c r="E240" s="97"/>
      <c r="F240" s="98"/>
      <c r="G240" s="98"/>
      <c r="H240" s="98"/>
      <c r="I240" s="98"/>
      <c r="J240" s="98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97"/>
      <c r="B241" s="97"/>
      <c r="C241" s="97"/>
      <c r="D241" s="97"/>
      <c r="E241" s="97"/>
      <c r="F241" s="98"/>
      <c r="G241" s="98"/>
      <c r="H241" s="98"/>
      <c r="I241" s="98"/>
      <c r="J241" s="98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97"/>
      <c r="B242" s="97"/>
      <c r="C242" s="97"/>
      <c r="D242" s="97"/>
      <c r="E242" s="97"/>
      <c r="F242" s="98"/>
      <c r="G242" s="98"/>
      <c r="H242" s="98"/>
      <c r="I242" s="98"/>
      <c r="J242" s="98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97"/>
      <c r="B243" s="97"/>
      <c r="C243" s="97"/>
      <c r="D243" s="97"/>
      <c r="E243" s="97"/>
      <c r="F243" s="98"/>
      <c r="G243" s="98"/>
      <c r="H243" s="98"/>
      <c r="I243" s="98"/>
      <c r="J243" s="98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97"/>
      <c r="B244" s="97"/>
      <c r="C244" s="97"/>
      <c r="D244" s="97"/>
      <c r="E244" s="97"/>
      <c r="F244" s="98"/>
      <c r="G244" s="98"/>
      <c r="H244" s="98"/>
      <c r="I244" s="98"/>
      <c r="J244" s="98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97"/>
      <c r="B245" s="97"/>
      <c r="C245" s="97"/>
      <c r="D245" s="97"/>
      <c r="E245" s="97"/>
      <c r="F245" s="98"/>
      <c r="G245" s="98"/>
      <c r="H245" s="98"/>
      <c r="I245" s="98"/>
      <c r="J245" s="98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97"/>
      <c r="B246" s="97"/>
      <c r="C246" s="97"/>
      <c r="D246" s="97"/>
      <c r="E246" s="97"/>
      <c r="F246" s="98"/>
      <c r="G246" s="98"/>
      <c r="H246" s="98"/>
      <c r="I246" s="98"/>
      <c r="J246" s="98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97"/>
      <c r="B247" s="97"/>
      <c r="C247" s="97"/>
      <c r="D247" s="97"/>
      <c r="E247" s="97"/>
      <c r="F247" s="98"/>
      <c r="G247" s="98"/>
      <c r="H247" s="98"/>
      <c r="I247" s="98"/>
      <c r="J247" s="98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97"/>
      <c r="B248" s="97"/>
      <c r="C248" s="97"/>
      <c r="D248" s="97"/>
      <c r="E248" s="97"/>
      <c r="F248" s="98"/>
      <c r="G248" s="98"/>
      <c r="H248" s="98"/>
      <c r="I248" s="98"/>
      <c r="J248" s="98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97"/>
      <c r="B249" s="97"/>
      <c r="C249" s="97"/>
      <c r="D249" s="97"/>
      <c r="E249" s="97"/>
      <c r="F249" s="98"/>
      <c r="G249" s="98"/>
      <c r="H249" s="98"/>
      <c r="I249" s="98"/>
      <c r="J249" s="98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97"/>
      <c r="B250" s="97"/>
      <c r="C250" s="97"/>
      <c r="D250" s="97"/>
      <c r="E250" s="97"/>
      <c r="F250" s="98"/>
      <c r="G250" s="98"/>
      <c r="H250" s="98"/>
      <c r="I250" s="98"/>
      <c r="J250" s="98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97"/>
      <c r="B251" s="97"/>
      <c r="C251" s="97"/>
      <c r="D251" s="97"/>
      <c r="E251" s="97"/>
      <c r="F251" s="98"/>
      <c r="G251" s="98"/>
      <c r="H251" s="98"/>
      <c r="I251" s="98"/>
      <c r="J251" s="98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97"/>
      <c r="B252" s="97"/>
      <c r="C252" s="97"/>
      <c r="D252" s="97"/>
      <c r="E252" s="97"/>
      <c r="F252" s="98"/>
      <c r="G252" s="98"/>
      <c r="H252" s="98"/>
      <c r="I252" s="98"/>
      <c r="J252" s="98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autoFilter ref="$A$1:$J$52"/>
  <mergeCells count="2">
    <mergeCell ref="A1:E1"/>
    <mergeCell ref="F1:J1"/>
  </mergeCells>
  <conditionalFormatting sqref="E4">
    <cfRule type="notContainsBlanks" dxfId="1" priority="1">
      <formula>LEN(TRIM(E4))&gt;0</formula>
    </cfRule>
  </conditionalFormatting>
  <dataValidations>
    <dataValidation type="list" allowBlank="1" showErrorMessage="1" sqref="B3:B500">
      <formula1>'1_Cadastramento'!$C$3:$C$101</formula1>
    </dataValidation>
    <dataValidation type="list" allowBlank="1" showErrorMessage="1" sqref="I3:I500">
      <formula1>formularios!$F$1:$F$35</formula1>
    </dataValidation>
    <dataValidation type="list" allowBlank="1" showErrorMessage="1" sqref="D3:D500">
      <formula1>formularios!$F$2:$F$20</formula1>
    </dataValidation>
    <dataValidation type="list" allowBlank="1" showErrorMessage="1" sqref="G3:G500">
      <formula1>formularios!$K$1:$K$94</formula1>
    </dataValidation>
    <dataValidation type="list" allowBlank="1" showErrorMessage="1" sqref="E3:E500">
      <formula1>formularios!$L$2:$L$500</formula1>
    </dataValidation>
    <dataValidation type="list" allowBlank="1" showErrorMessage="1" sqref="H3:H500">
      <formula1>formularios!$D$1:$D$8</formula1>
    </dataValidation>
    <dataValidation type="list" allowBlank="1" showErrorMessage="1" sqref="K30:K39 A3:A500 F3:F500">
      <formula1>'1_Cadastramento'!$A$3:$A$101</formula1>
    </dataValidation>
    <dataValidation type="list" allowBlank="1" showErrorMessage="1" sqref="J3:J500">
      <formula1>formularios!$L$1:$L$500</formula1>
    </dataValidation>
    <dataValidation type="list" allowBlank="1" showErrorMessage="1" sqref="C3:C500">
      <formula1>formularios!$D$2:$D$8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9.43"/>
    <col customWidth="1" min="3" max="3" width="9.29"/>
    <col customWidth="1" min="4" max="4" width="13.71"/>
    <col customWidth="1" min="5" max="5" width="12.43"/>
    <col customWidth="1" min="6" max="6" width="6.57"/>
    <col customWidth="1" min="7" max="7" width="10.14"/>
    <col customWidth="1" min="8" max="8" width="2.86"/>
    <col customWidth="1" min="9" max="9" width="32.57"/>
    <col customWidth="1" min="10" max="10" width="13.43"/>
    <col customWidth="1" min="11" max="11" width="7.86"/>
    <col customWidth="1" min="12" max="12" width="43.29"/>
    <col customWidth="1" min="13" max="14" width="9.14"/>
    <col customWidth="1" min="15" max="26" width="8.71"/>
  </cols>
  <sheetData>
    <row r="1">
      <c r="A1" s="99" t="s">
        <v>187</v>
      </c>
      <c r="B1" s="99" t="s">
        <v>188</v>
      </c>
      <c r="C1" s="99" t="s">
        <v>189</v>
      </c>
      <c r="D1" s="99" t="s">
        <v>156</v>
      </c>
      <c r="E1" s="100" t="s">
        <v>190</v>
      </c>
      <c r="F1" s="101" t="s">
        <v>155</v>
      </c>
      <c r="G1" s="101"/>
      <c r="H1" s="101">
        <v>0.0</v>
      </c>
      <c r="I1" s="101"/>
      <c r="J1" s="101" t="s">
        <v>156</v>
      </c>
      <c r="K1" s="101" t="s">
        <v>155</v>
      </c>
      <c r="L1" s="102" t="s">
        <v>155</v>
      </c>
      <c r="M1" s="103"/>
      <c r="N1" s="103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A2" s="104"/>
      <c r="B2" s="105">
        <v>0.0</v>
      </c>
      <c r="C2" s="105" t="s">
        <v>191</v>
      </c>
      <c r="D2" s="106" t="str">
        <f t="array" ref="D2">IFERROR(INDEX(E:E, SMALL(IF(E:E&lt;&gt;"", ROW(E:E)), ROW(E2))),"")</f>
        <v>Segunda-feira</v>
      </c>
      <c r="E2" s="10" t="str">
        <f>IF('5_folga'!B2="","","Segunda-feira")</f>
        <v>Segunda-feira</v>
      </c>
      <c r="F2" s="106" t="str">
        <f>IF($G$2&gt;=1,"1ª aula","")</f>
        <v>1ª aula</v>
      </c>
      <c r="G2" s="106">
        <f>MAX('4_qtd_aulas'!B3:K9)</f>
        <v>10</v>
      </c>
      <c r="H2" s="106">
        <v>1.0</v>
      </c>
      <c r="I2" s="106" t="s">
        <v>192</v>
      </c>
      <c r="J2" s="106" t="str">
        <f>IF('1_Cadastramento'!$A$3="","",'1_Cadastramento'!$A$3)</f>
        <v>ACT- MTM</v>
      </c>
      <c r="K2" s="107" t="str">
        <f>IF('1_Cadastramento'!#REF!="","",'1_Cadastramento'!#REF!)</f>
        <v>#ERROR!</v>
      </c>
      <c r="L2" s="38" t="str">
        <f>IF('1_Cadastramento'!#REF!="","",'1_Cadastramento'!#REF!)</f>
        <v>#ERROR!</v>
      </c>
      <c r="M2" s="107"/>
      <c r="N2" s="107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105">
        <v>0.0</v>
      </c>
      <c r="B3" s="105">
        <v>1.0</v>
      </c>
      <c r="C3" s="105" t="s">
        <v>193</v>
      </c>
      <c r="D3" s="106" t="str">
        <f t="array" ref="D3">IFERROR(INDEX(E:E, SMALL(IF(E:E&lt;&gt;"", ROW(E:E)), ROW(E3))),"")</f>
        <v>Terça-feira</v>
      </c>
      <c r="E3" s="10" t="str">
        <f>IF('5_folga'!E2="","","Terça-feira")</f>
        <v>Terça-feira</v>
      </c>
      <c r="F3" s="106" t="str">
        <f>IF($G$2&gt;=2,"2ª aula","")</f>
        <v>2ª aula</v>
      </c>
      <c r="G3" s="21"/>
      <c r="H3" s="106">
        <v>2.0</v>
      </c>
      <c r="I3" s="106" t="s">
        <v>194</v>
      </c>
      <c r="J3" s="106" t="str">
        <f>IF('1_Cadastramento'!$A$4="","",'1_Cadastramento'!$A$4)</f>
        <v>ACT_EM</v>
      </c>
      <c r="K3" s="107" t="str">
        <f>IF('1_Cadastramento'!#REF!="","",'1_Cadastramento'!#REF!)</f>
        <v>#ERROR!</v>
      </c>
      <c r="L3" s="38" t="str">
        <f>IF('1_Cadastramento'!#REF!="","",'1_Cadastramento'!#REF!)</f>
        <v>#ERROR!</v>
      </c>
      <c r="M3" s="107"/>
      <c r="N3" s="107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105">
        <v>1.0</v>
      </c>
      <c r="B4" s="105">
        <v>2.0</v>
      </c>
      <c r="C4" s="105" t="s">
        <v>142</v>
      </c>
      <c r="D4" s="106" t="str">
        <f t="array" ref="D4">IFERROR(INDEX(E:E, SMALL(IF(E:E&lt;&gt;"", ROW(E:E)), ROW(E4))),"")</f>
        <v>Quarta-feira</v>
      </c>
      <c r="E4" s="10" t="str">
        <f>IF('5_folga'!H2="","","Quarta-feira")</f>
        <v>Quarta-feira</v>
      </c>
      <c r="F4" s="106" t="str">
        <f>IF($G$2&gt;=3,"3ª aula","")</f>
        <v>3ª aula</v>
      </c>
      <c r="G4" s="21"/>
      <c r="H4" s="106">
        <v>3.0</v>
      </c>
      <c r="I4" s="106" t="s">
        <v>10</v>
      </c>
      <c r="J4" s="106" t="str">
        <f>IF('1_Cadastramento'!$A$5="","",'1_Cadastramento'!$A$5)</f>
        <v>ACT_PLE</v>
      </c>
      <c r="K4" s="107" t="str">
        <f>IF('1_Cadastramento'!#REF!="","",'1_Cadastramento'!#REF!)</f>
        <v>#ERROR!</v>
      </c>
      <c r="L4" s="38" t="str">
        <f>IF('1_Cadastramento'!#REF!="","",'1_Cadastramento'!#REF!)</f>
        <v>#ERROR!</v>
      </c>
      <c r="M4" s="107"/>
      <c r="N4" s="107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105">
        <v>2.0</v>
      </c>
      <c r="B5" s="105"/>
      <c r="C5" s="105"/>
      <c r="D5" s="106" t="str">
        <f t="array" ref="D5">IFERROR(INDEX(E:E, SMALL(IF(E:E&lt;&gt;"", ROW(E:E)), ROW(E5))),"")</f>
        <v>Quinta-feira</v>
      </c>
      <c r="E5" s="10" t="str">
        <f>IF('5_folga'!K2="","","Quinta-feira")</f>
        <v>Quinta-feira</v>
      </c>
      <c r="F5" s="106" t="str">
        <f>IF($G$2&gt;=4,"4ª aula","")</f>
        <v>4ª aula</v>
      </c>
      <c r="G5" s="21"/>
      <c r="H5" s="106">
        <v>4.0</v>
      </c>
      <c r="I5" s="106" t="s">
        <v>195</v>
      </c>
      <c r="J5" s="106" t="str">
        <f>IF('1_Cadastramento'!$A$6="","",'1_Cadastramento'!$A$6)</f>
        <v>ACT_PORT</v>
      </c>
      <c r="K5" s="107" t="str">
        <f>IF('1_Cadastramento'!#REF!="","",'1_Cadastramento'!#REF!)</f>
        <v>#ERROR!</v>
      </c>
      <c r="L5" s="38" t="str">
        <f>IF('1_Cadastramento'!#REF!="","",'1_Cadastramento'!#REF!)</f>
        <v>#ERROR!</v>
      </c>
      <c r="M5" s="107"/>
      <c r="N5" s="107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105">
        <v>3.0</v>
      </c>
      <c r="B6" s="105"/>
      <c r="C6" s="105"/>
      <c r="D6" s="106" t="str">
        <f t="array" ref="D6">IFERROR(INDEX(E:E, SMALL(IF(E:E&lt;&gt;"", ROW(E:E)), ROW(E6))),"")</f>
        <v>Sexta-feira</v>
      </c>
      <c r="E6" s="10" t="str">
        <f>IF('5_folga'!N2="","","Sexta-feira")</f>
        <v>Sexta-feira</v>
      </c>
      <c r="F6" s="106" t="str">
        <f>IF($G$2&gt;=5,"5ª aula","")</f>
        <v>5ª aula</v>
      </c>
      <c r="G6" s="21"/>
      <c r="H6" s="106">
        <v>5.0</v>
      </c>
      <c r="I6" s="106" t="s">
        <v>14</v>
      </c>
      <c r="J6" s="106" t="str">
        <f>IF('1_Cadastramento'!$A$7="","",'1_Cadastramento'!$A$7)</f>
        <v>ACT_HIST1</v>
      </c>
      <c r="K6" s="107" t="str">
        <f>IF('1_Cadastramento'!#REF!="","",'1_Cadastramento'!#REF!)</f>
        <v>#ERROR!</v>
      </c>
      <c r="L6" s="38" t="str">
        <f>IF('1_Cadastramento'!#REF!="","",'1_Cadastramento'!#REF!)</f>
        <v>#ERROR!</v>
      </c>
      <c r="M6" s="107"/>
      <c r="N6" s="107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105">
        <v>4.0</v>
      </c>
      <c r="B7" s="105"/>
      <c r="C7" s="105"/>
      <c r="D7" s="106" t="str">
        <f t="array" ref="D7">IFERROR(INDEX(E:E, SMALL(IF(E:E&lt;&gt;"", ROW(E:E)), ROW(E7))),"")</f>
        <v/>
      </c>
      <c r="E7" s="10" t="str">
        <f>IF('5_folga'!Q2="","","Sábado")</f>
        <v/>
      </c>
      <c r="F7" s="106" t="str">
        <f>IF($G$2&gt;=6,"6ª aula","")</f>
        <v>6ª aula</v>
      </c>
      <c r="G7" s="21"/>
      <c r="H7" s="106">
        <v>6.0</v>
      </c>
      <c r="I7" s="106" t="s">
        <v>196</v>
      </c>
      <c r="J7" s="106" t="str">
        <f>IF('1_Cadastramento'!$A$8="","",'1_Cadastramento'!$A$8)</f>
        <v>ACT_HIST2</v>
      </c>
      <c r="K7" s="107" t="str">
        <f>IF('1_Cadastramento'!#REF!="","",'1_Cadastramento'!#REF!)</f>
        <v>#ERROR!</v>
      </c>
      <c r="L7" s="38" t="str">
        <f>IF('1_Cadastramento'!#REF!="","",'1_Cadastramento'!#REF!)</f>
        <v>#ERROR!</v>
      </c>
      <c r="M7" s="107"/>
      <c r="N7" s="107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105">
        <v>5.0</v>
      </c>
      <c r="B8" s="105"/>
      <c r="C8" s="105"/>
      <c r="D8" s="106" t="str">
        <f t="array" ref="D8">IFERROR(INDEX(E:E, SMALL(IF(E:E&lt;&gt;"", ROW(E:E)), ROW(E8))),"")</f>
        <v/>
      </c>
      <c r="E8" s="10" t="str">
        <f>IF('5_folga'!T2="","","Domingo")</f>
        <v/>
      </c>
      <c r="F8" s="106" t="str">
        <f>IF($G$2&gt;=7,"7ª aula","")</f>
        <v>7ª aula</v>
      </c>
      <c r="G8" s="21"/>
      <c r="H8" s="106">
        <v>7.0</v>
      </c>
      <c r="I8" s="106" t="s">
        <v>197</v>
      </c>
      <c r="J8" s="106" t="str">
        <f>IF('1_Cadastramento'!$A$9="","",'1_Cadastramento'!$A$9)</f>
        <v>ADELIDIO</v>
      </c>
      <c r="K8" s="107" t="str">
        <f>IF('1_Cadastramento'!#REF!="","",'1_Cadastramento'!#REF!)</f>
        <v>#ERROR!</v>
      </c>
      <c r="L8" s="38" t="str">
        <f>IF('1_Cadastramento'!#REF!="","",'1_Cadastramento'!#REF!)</f>
        <v>#ERROR!</v>
      </c>
      <c r="M8" s="107"/>
      <c r="N8" s="107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105">
        <v>6.0</v>
      </c>
      <c r="B9" s="105"/>
      <c r="C9" s="105"/>
      <c r="D9" s="104"/>
      <c r="E9" s="108"/>
      <c r="F9" s="106" t="str">
        <f>IF($G$2&gt;=8,"8ª aula","")</f>
        <v>8ª aula</v>
      </c>
      <c r="G9" s="21"/>
      <c r="H9" s="106">
        <v>8.0</v>
      </c>
      <c r="I9" s="106" t="s">
        <v>19</v>
      </c>
      <c r="J9" s="106" t="str">
        <f>IF('1_Cadastramento'!$A$10="","",'1_Cadastramento'!$A$10)</f>
        <v>AGNES</v>
      </c>
      <c r="K9" s="107" t="str">
        <f>IF('1_Cadastramento'!#REF!="","",'1_Cadastramento'!#REF!)</f>
        <v>#ERROR!</v>
      </c>
      <c r="L9" s="38" t="str">
        <f>IF('1_Cadastramento'!#REF!="","",'1_Cadastramento'!#REF!)</f>
        <v>#ERROR!</v>
      </c>
      <c r="M9" s="107"/>
      <c r="N9" s="107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105">
        <v>7.0</v>
      </c>
      <c r="B10" s="105"/>
      <c r="C10" s="105"/>
      <c r="D10" s="104"/>
      <c r="E10" s="108"/>
      <c r="F10" s="106" t="str">
        <f>IF($G$2&gt;=9,"9ª aula","")</f>
        <v>9ª aula</v>
      </c>
      <c r="G10" s="21"/>
      <c r="H10" s="106">
        <v>9.0</v>
      </c>
      <c r="I10" s="106" t="s">
        <v>198</v>
      </c>
      <c r="J10" s="106" t="str">
        <f>IF('1_Cadastramento'!$A$11="","",'1_Cadastramento'!$A$11)</f>
        <v>ALINE</v>
      </c>
      <c r="K10" s="107" t="str">
        <f>IF('1_Cadastramento'!#REF!="","",'1_Cadastramento'!#REF!)</f>
        <v>#ERROR!</v>
      </c>
      <c r="L10" s="38" t="str">
        <f>IF('1_Cadastramento'!#REF!="","",'1_Cadastramento'!#REF!)</f>
        <v>#ERROR!</v>
      </c>
      <c r="M10" s="107"/>
      <c r="N10" s="107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05">
        <v>8.0</v>
      </c>
      <c r="B11" s="105"/>
      <c r="C11" s="105"/>
      <c r="D11" s="104"/>
      <c r="E11" s="108"/>
      <c r="F11" s="106" t="str">
        <f>IF($G$2&gt;=10,"10ª aula","")</f>
        <v>10ª aula</v>
      </c>
      <c r="G11" s="21"/>
      <c r="H11" s="106">
        <v>10.0</v>
      </c>
      <c r="I11" s="106" t="s">
        <v>199</v>
      </c>
      <c r="J11" s="106" t="str">
        <f>IF('1_Cadastramento'!$A$12="","",'1_Cadastramento'!$A$12)</f>
        <v>ANA LUCIA</v>
      </c>
      <c r="K11" s="107" t="str">
        <f>IF('1_Cadastramento'!#REF!="","",'1_Cadastramento'!#REF!)</f>
        <v>#ERROR!</v>
      </c>
      <c r="L11" s="38" t="str">
        <f>IF('1_Cadastramento'!#REF!="","",'1_Cadastramento'!#REF!)</f>
        <v>#ERROR!</v>
      </c>
      <c r="M11" s="107"/>
      <c r="N11" s="107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05">
        <v>9.0</v>
      </c>
      <c r="B12" s="105"/>
      <c r="C12" s="105"/>
      <c r="D12" s="104"/>
      <c r="E12" s="108"/>
      <c r="F12" s="106" t="str">
        <f>IF($G$2&gt;=11,"11ª aula","")</f>
        <v/>
      </c>
      <c r="G12" s="21"/>
      <c r="H12" s="21"/>
      <c r="I12" s="106" t="s">
        <v>200</v>
      </c>
      <c r="J12" s="106" t="str">
        <f>IF('1_Cadastramento'!$A$13="","",'1_Cadastramento'!$A$13)</f>
        <v>ANA LUIZA</v>
      </c>
      <c r="K12" s="107" t="str">
        <f>IF('1_Cadastramento'!#REF!="","",'1_Cadastramento'!#REF!)</f>
        <v>#ERROR!</v>
      </c>
      <c r="L12" s="38" t="str">
        <f>IF('1_Cadastramento'!#REF!="","",'1_Cadastramento'!#REF!)</f>
        <v>#ERROR!</v>
      </c>
      <c r="M12" s="107"/>
      <c r="N12" s="107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5">
        <v>10.0</v>
      </c>
      <c r="B13" s="104"/>
      <c r="C13" s="104"/>
      <c r="D13" s="104"/>
      <c r="E13" s="109"/>
      <c r="F13" s="106" t="str">
        <f>IF($G$2&gt;=12,"12ª aula","")</f>
        <v/>
      </c>
      <c r="G13" s="21"/>
      <c r="H13" s="21"/>
      <c r="I13" s="106" t="s">
        <v>201</v>
      </c>
      <c r="J13" s="106" t="str">
        <f>IF('1_Cadastramento'!$A$14="","",'1_Cadastramento'!$A$14)</f>
        <v>AUX_LET</v>
      </c>
      <c r="K13" s="107" t="str">
        <f>IF('1_Cadastramento'!#REF!="","",'1_Cadastramento'!#REF!)</f>
        <v>#ERROR!</v>
      </c>
      <c r="L13" s="38" t="str">
        <f>IF('1_Cadastramento'!#REF!="","",'1_Cadastramento'!#REF!)</f>
        <v>#ERROR!</v>
      </c>
      <c r="M13" s="107"/>
      <c r="N13" s="107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05">
        <v>11.0</v>
      </c>
      <c r="B14" s="104"/>
      <c r="C14" s="104"/>
      <c r="D14" s="104"/>
      <c r="E14" s="109"/>
      <c r="F14" s="106" t="str">
        <f>IF($G$2&gt;=13,"13ª aula","")</f>
        <v/>
      </c>
      <c r="G14" s="21"/>
      <c r="H14" s="21"/>
      <c r="I14" s="106" t="s">
        <v>202</v>
      </c>
      <c r="J14" s="106" t="str">
        <f>IF('1_Cadastramento'!$A$15="","",'1_Cadastramento'!$A$15)</f>
        <v>AUX_NUM</v>
      </c>
      <c r="K14" s="107" t="str">
        <f>IF('1_Cadastramento'!#REF!="","",'1_Cadastramento'!#REF!)</f>
        <v>#ERROR!</v>
      </c>
      <c r="L14" s="38" t="str">
        <f>IF('1_Cadastramento'!#REF!="","",'1_Cadastramento'!#REF!)</f>
        <v>#ERROR!</v>
      </c>
      <c r="M14" s="107"/>
      <c r="N14" s="107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05">
        <v>12.0</v>
      </c>
      <c r="B15" s="104"/>
      <c r="C15" s="104"/>
      <c r="D15" s="104"/>
      <c r="E15" s="109"/>
      <c r="F15" s="106" t="str">
        <f>IF($G$2&gt;=14,"14ª aula","")</f>
        <v/>
      </c>
      <c r="G15" s="21"/>
      <c r="H15" s="21"/>
      <c r="I15" s="106" t="s">
        <v>203</v>
      </c>
      <c r="J15" s="106" t="str">
        <f>IF('1_Cadastramento'!$A$16="","",'1_Cadastramento'!$A$16)</f>
        <v>CAMILA</v>
      </c>
      <c r="K15" s="107" t="str">
        <f>IF('1_Cadastramento'!#REF!="","",'1_Cadastramento'!#REF!)</f>
        <v>#ERROR!</v>
      </c>
      <c r="L15" s="38" t="str">
        <f>IF('1_Cadastramento'!$F$14="","",'1_Cadastramento'!$F$14)</f>
        <v>Arte2</v>
      </c>
      <c r="M15" s="107"/>
      <c r="N15" s="107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105">
        <v>13.0</v>
      </c>
      <c r="B16" s="104"/>
      <c r="C16" s="104"/>
      <c r="D16" s="104"/>
      <c r="E16" s="109"/>
      <c r="F16" s="106" t="str">
        <f>IF($G$2&gt;=15,"15ª aula","")</f>
        <v/>
      </c>
      <c r="G16" s="21"/>
      <c r="H16" s="21"/>
      <c r="I16" s="106" t="s">
        <v>204</v>
      </c>
      <c r="J16" s="106" t="str">
        <f>IF('1_Cadastramento'!$A$17="","",'1_Cadastramento'!$A$17)</f>
        <v>CHRISTELLE</v>
      </c>
      <c r="K16" s="107" t="str">
        <f>IF('1_Cadastramento'!#REF!="","",'1_Cadastramento'!#REF!)</f>
        <v>#ERROR!</v>
      </c>
      <c r="L16" s="38" t="str">
        <f>IF('1_Cadastramento'!$F$15="","",'1_Cadastramento'!$F$15)</f>
        <v>LET</v>
      </c>
      <c r="M16" s="107"/>
      <c r="N16" s="107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105">
        <v>14.0</v>
      </c>
      <c r="B17" s="104"/>
      <c r="C17" s="104"/>
      <c r="D17" s="104"/>
      <c r="E17" s="109"/>
      <c r="F17" s="106" t="str">
        <f>IF($G$2&gt;=16,"16ª aula","")</f>
        <v/>
      </c>
      <c r="G17" s="21"/>
      <c r="H17" s="21"/>
      <c r="I17" s="106" t="s">
        <v>205</v>
      </c>
      <c r="J17" s="106" t="str">
        <f>IF('1_Cadastramento'!$A$18="","",'1_Cadastramento'!$A$18)</f>
        <v>CINTIA</v>
      </c>
      <c r="K17" s="107" t="str">
        <f>IF('1_Cadastramento'!#REF!="","",'1_Cadastramento'!#REF!)</f>
        <v>#ERROR!</v>
      </c>
      <c r="L17" s="38" t="str">
        <f>IF('1_Cadastramento'!$F$16="","",'1_Cadastramento'!$F$16)</f>
        <v>NUM</v>
      </c>
      <c r="M17" s="107"/>
      <c r="N17" s="107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105">
        <v>15.0</v>
      </c>
      <c r="B18" s="104"/>
      <c r="C18" s="104"/>
      <c r="D18" s="104"/>
      <c r="E18" s="109"/>
      <c r="F18" s="106" t="str">
        <f>IF($G$2&gt;=17,"17ª aula","")</f>
        <v/>
      </c>
      <c r="G18" s="21"/>
      <c r="H18" s="21"/>
      <c r="I18" s="21"/>
      <c r="J18" s="106" t="str">
        <f>IF('1_Cadastramento'!$A$19="","",'1_Cadastramento'!$A$19)</f>
        <v>DELSON</v>
      </c>
      <c r="K18" s="107" t="str">
        <f>IF('1_Cadastramento'!#REF!="","",'1_Cadastramento'!#REF!)</f>
        <v>#ERROR!</v>
      </c>
      <c r="L18" s="38" t="str">
        <f>IF('1_Cadastramento'!$F$17="","",'1_Cadastramento'!$F$17)</f>
        <v>SUS</v>
      </c>
      <c r="M18" s="107"/>
      <c r="N18" s="107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105">
        <v>16.0</v>
      </c>
      <c r="B19" s="104"/>
      <c r="C19" s="104"/>
      <c r="D19" s="104"/>
      <c r="E19" s="109"/>
      <c r="F19" s="106" t="str">
        <f>IF($G$2&gt;=18,"18ª aula","")</f>
        <v/>
      </c>
      <c r="G19" s="21"/>
      <c r="H19" s="21"/>
      <c r="I19" s="21"/>
      <c r="J19" s="106" t="str">
        <f>IF('1_Cadastramento'!$A$20="","",'1_Cadastramento'!$A$20)</f>
        <v>DOUGLAS</v>
      </c>
      <c r="K19" s="107" t="str">
        <f>IF('1_Cadastramento'!#REF!="","",'1_Cadastramento'!#REF!)</f>
        <v>#ERROR!</v>
      </c>
      <c r="L19" s="38" t="str">
        <f>IF('1_Cadastramento'!$F$18="","",'1_Cadastramento'!$F$18)</f>
        <v>EM</v>
      </c>
      <c r="M19" s="107"/>
      <c r="N19" s="107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105">
        <v>17.0</v>
      </c>
      <c r="B20" s="104"/>
      <c r="C20" s="104"/>
      <c r="D20" s="104"/>
      <c r="E20" s="109"/>
      <c r="F20" s="21"/>
      <c r="G20" s="21"/>
      <c r="H20" s="21"/>
      <c r="I20" s="21"/>
      <c r="J20" s="106" t="str">
        <f>IF('1_Cadastramento'!$A$21="","",'1_Cadastramento'!$A$21)</f>
        <v>EDILMA</v>
      </c>
      <c r="K20" s="107" t="str">
        <f>IF('1_Cadastramento'!#REF!="","",'1_Cadastramento'!#REF!)</f>
        <v>#ERROR!</v>
      </c>
      <c r="L20" s="38" t="str">
        <f>IF('1_Cadastramento'!$F$19="","",'1_Cadastramento'!$F$19)</f>
        <v>PLE</v>
      </c>
      <c r="M20" s="107"/>
      <c r="N20" s="107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105">
        <v>18.0</v>
      </c>
      <c r="B21" s="104"/>
      <c r="C21" s="104"/>
      <c r="D21" s="104"/>
      <c r="E21" s="109"/>
      <c r="F21" s="21"/>
      <c r="G21" s="21"/>
      <c r="H21" s="21"/>
      <c r="I21" s="21"/>
      <c r="J21" s="106" t="str">
        <f>IF('1_Cadastramento'!$A$22="","",'1_Cadastramento'!$A$22)</f>
        <v>EDUARDO</v>
      </c>
      <c r="K21" s="107" t="str">
        <f>IF('1_Cadastramento'!#REF!="","",'1_Cadastramento'!#REF!)</f>
        <v>#ERROR!</v>
      </c>
      <c r="L21" s="38" t="str">
        <f>IF('1_Cadastramento'!$F$22="","",'1_Cadastramento'!$F$22)</f>
        <v/>
      </c>
      <c r="M21" s="107"/>
      <c r="N21" s="107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105">
        <v>19.0</v>
      </c>
      <c r="B22" s="104"/>
      <c r="C22" s="104"/>
      <c r="D22" s="104"/>
      <c r="E22" s="109"/>
      <c r="F22" s="21"/>
      <c r="G22" s="21"/>
      <c r="H22" s="21"/>
      <c r="I22" s="21"/>
      <c r="J22" s="106" t="str">
        <f>IF('1_Cadastramento'!$A$23="","",'1_Cadastramento'!$A$23)</f>
        <v>EMANUELE</v>
      </c>
      <c r="K22" s="107" t="str">
        <f>IF('1_Cadastramento'!#REF!="","",'1_Cadastramento'!#REF!)</f>
        <v>#ERROR!</v>
      </c>
      <c r="L22" s="38" t="str">
        <f>IF('1_Cadastramento'!$F$23="","",'1_Cadastramento'!$F$23)</f>
        <v/>
      </c>
      <c r="M22" s="107"/>
      <c r="N22" s="107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105">
        <v>20.0</v>
      </c>
      <c r="B23" s="104"/>
      <c r="C23" s="104"/>
      <c r="D23" s="104"/>
      <c r="E23" s="109"/>
      <c r="F23" s="21"/>
      <c r="G23" s="21"/>
      <c r="H23" s="21"/>
      <c r="I23" s="21"/>
      <c r="J23" s="106" t="str">
        <f>IF('1_Cadastramento'!$A$24="","",'1_Cadastramento'!$A$24)</f>
        <v>FABIANO</v>
      </c>
      <c r="K23" s="107" t="str">
        <f>IF('1_Cadastramento'!#REF!="","",'1_Cadastramento'!#REF!)</f>
        <v>#ERROR!</v>
      </c>
      <c r="L23" s="38" t="str">
        <f>IF('1_Cadastramento'!$F$24="","",'1_Cadastramento'!$F$24)</f>
        <v/>
      </c>
      <c r="M23" s="107"/>
      <c r="N23" s="107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105">
        <v>21.0</v>
      </c>
      <c r="B24" s="104"/>
      <c r="C24" s="104"/>
      <c r="D24" s="104"/>
      <c r="E24" s="109"/>
      <c r="F24" s="21"/>
      <c r="G24" s="21"/>
      <c r="H24" s="21"/>
      <c r="I24" s="21"/>
      <c r="J24" s="106" t="str">
        <f>IF('1_Cadastramento'!$A$25="","",'1_Cadastramento'!$A$25)</f>
        <v>FERNANDA</v>
      </c>
      <c r="K24" s="107" t="str">
        <f>IF('1_Cadastramento'!#REF!="","",'1_Cadastramento'!#REF!)</f>
        <v>#ERROR!</v>
      </c>
      <c r="L24" s="38" t="str">
        <f>IF('1_Cadastramento'!$F$25="","",'1_Cadastramento'!$F$25)</f>
        <v/>
      </c>
      <c r="M24" s="107"/>
      <c r="N24" s="107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105">
        <v>22.0</v>
      </c>
      <c r="B25" s="104"/>
      <c r="C25" s="104"/>
      <c r="D25" s="104"/>
      <c r="E25" s="109"/>
      <c r="F25" s="21"/>
      <c r="G25" s="21"/>
      <c r="H25" s="21"/>
      <c r="I25" s="21"/>
      <c r="J25" s="106" t="str">
        <f>IF('1_Cadastramento'!$A$26="","",'1_Cadastramento'!$A$26)</f>
        <v>GIANE</v>
      </c>
      <c r="K25" s="107" t="str">
        <f>IF('1_Cadastramento'!#REF!="","",'1_Cadastramento'!#REF!)</f>
        <v>#ERROR!</v>
      </c>
      <c r="L25" s="38" t="str">
        <f>IF('1_Cadastramento'!$F$26="","",'1_Cadastramento'!$F$26)</f>
        <v/>
      </c>
      <c r="M25" s="107"/>
      <c r="N25" s="107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105">
        <v>23.0</v>
      </c>
      <c r="B26" s="104"/>
      <c r="C26" s="104"/>
      <c r="D26" s="104"/>
      <c r="E26" s="109"/>
      <c r="F26" s="21"/>
      <c r="G26" s="21"/>
      <c r="H26" s="21"/>
      <c r="I26" s="21"/>
      <c r="J26" s="106" t="str">
        <f>IF('1_Cadastramento'!$A$27="","",'1_Cadastramento'!$A$27)</f>
        <v>GRAYCE</v>
      </c>
      <c r="K26" s="107">
        <f>IF('1_Cadastramento'!$C$23="","",'1_Cadastramento'!$C$23)</f>
        <v>73</v>
      </c>
      <c r="L26" s="38" t="str">
        <f>IF('1_Cadastramento'!$F$27="","",'1_Cadastramento'!$F$27)</f>
        <v/>
      </c>
      <c r="M26" s="107"/>
      <c r="N26" s="107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105">
        <v>24.0</v>
      </c>
      <c r="B27" s="104"/>
      <c r="C27" s="104"/>
      <c r="D27" s="104"/>
      <c r="E27" s="109"/>
      <c r="F27" s="21"/>
      <c r="G27" s="21"/>
      <c r="H27" s="21"/>
      <c r="I27" s="21"/>
      <c r="J27" s="106" t="str">
        <f>IF('1_Cadastramento'!$A$28="","",'1_Cadastramento'!$A$28)</f>
        <v>GREYCE</v>
      </c>
      <c r="K27" s="107">
        <f>IF('1_Cadastramento'!$C$24="","",'1_Cadastramento'!$C$24)</f>
        <v>81</v>
      </c>
      <c r="L27" s="38" t="str">
        <f>IF('1_Cadastramento'!$F$28="","",'1_Cadastramento'!$F$28)</f>
        <v/>
      </c>
      <c r="M27" s="107"/>
      <c r="N27" s="107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105">
        <v>25.0</v>
      </c>
      <c r="B28" s="104"/>
      <c r="C28" s="104"/>
      <c r="D28" s="104"/>
      <c r="E28" s="109"/>
      <c r="F28" s="21"/>
      <c r="G28" s="21"/>
      <c r="H28" s="21"/>
      <c r="I28" s="21"/>
      <c r="J28" s="106" t="str">
        <f>IF('1_Cadastramento'!$A$29="","",'1_Cadastramento'!$A$29)</f>
        <v>GUSTAVO</v>
      </c>
      <c r="K28" s="107">
        <f>IF('1_Cadastramento'!$C$25="","",'1_Cadastramento'!$C$25)</f>
        <v>82</v>
      </c>
      <c r="L28" s="38" t="str">
        <f>IF('1_Cadastramento'!$F$29="","",'1_Cadastramento'!$F$29)</f>
        <v/>
      </c>
      <c r="M28" s="107"/>
      <c r="N28" s="107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105">
        <v>26.0</v>
      </c>
      <c r="B29" s="104"/>
      <c r="C29" s="104"/>
      <c r="D29" s="104"/>
      <c r="E29" s="109"/>
      <c r="F29" s="21"/>
      <c r="G29" s="21"/>
      <c r="H29" s="21"/>
      <c r="I29" s="21"/>
      <c r="J29" s="106" t="str">
        <f>IF('1_Cadastramento'!$A$30="","",'1_Cadastramento'!$A$30)</f>
        <v>HELENA</v>
      </c>
      <c r="K29" s="107">
        <f>IF('1_Cadastramento'!$C$26="","",'1_Cadastramento'!$C$26)</f>
        <v>83</v>
      </c>
      <c r="L29" s="38" t="str">
        <f>IF('1_Cadastramento'!$F$30="","",'1_Cadastramento'!$F$30)</f>
        <v/>
      </c>
      <c r="M29" s="107"/>
      <c r="N29" s="107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105">
        <v>27.0</v>
      </c>
      <c r="B30" s="104"/>
      <c r="C30" s="104"/>
      <c r="D30" s="104"/>
      <c r="E30" s="109"/>
      <c r="F30" s="21"/>
      <c r="G30" s="21"/>
      <c r="H30" s="21"/>
      <c r="I30" s="21"/>
      <c r="J30" s="106" t="str">
        <f>IF('1_Cadastramento'!$A$31="","",'1_Cadastramento'!$A$31)</f>
        <v>JULIANE</v>
      </c>
      <c r="K30" s="107">
        <f>IF('1_Cadastramento'!$C$27="","",'1_Cadastramento'!$C$27)</f>
        <v>91</v>
      </c>
      <c r="L30" s="38" t="str">
        <f>IF('1_Cadastramento'!$F$31="","",'1_Cadastramento'!$F$31)</f>
        <v/>
      </c>
      <c r="M30" s="107"/>
      <c r="N30" s="107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104"/>
      <c r="B31" s="104"/>
      <c r="C31" s="104"/>
      <c r="D31" s="104"/>
      <c r="E31" s="109"/>
      <c r="F31" s="21"/>
      <c r="G31" s="21"/>
      <c r="H31" s="21"/>
      <c r="I31" s="21"/>
      <c r="J31" s="106" t="str">
        <f>IF('1_Cadastramento'!$A$32="","",'1_Cadastramento'!$A$32)</f>
        <v>LOELIA</v>
      </c>
      <c r="K31" s="107">
        <f>IF('1_Cadastramento'!$C$28="","",'1_Cadastramento'!$C$28)</f>
        <v>92</v>
      </c>
      <c r="L31" s="38" t="str">
        <f>IF('1_Cadastramento'!$F$32="","",'1_Cadastramento'!$F$32)</f>
        <v/>
      </c>
      <c r="M31" s="107"/>
      <c r="N31" s="107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104"/>
      <c r="B32" s="104"/>
      <c r="C32" s="104"/>
      <c r="D32" s="104"/>
      <c r="E32" s="109"/>
      <c r="F32" s="21"/>
      <c r="G32" s="21"/>
      <c r="H32" s="21"/>
      <c r="I32" s="21"/>
      <c r="J32" s="106" t="str">
        <f>IF('1_Cadastramento'!$A$33="","",'1_Cadastramento'!$A$33)</f>
        <v>MARIA LUIZA</v>
      </c>
      <c r="K32" s="107">
        <f>IF('1_Cadastramento'!$C$29="","",'1_Cadastramento'!$C$29)</f>
        <v>93</v>
      </c>
      <c r="L32" s="38" t="str">
        <f>IF('1_Cadastramento'!$F$33="","",'1_Cadastramento'!$F$33)</f>
        <v/>
      </c>
      <c r="M32" s="107"/>
      <c r="N32" s="107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104"/>
      <c r="B33" s="104"/>
      <c r="C33" s="104"/>
      <c r="D33" s="104"/>
      <c r="E33" s="109"/>
      <c r="F33" s="21"/>
      <c r="G33" s="21"/>
      <c r="H33" s="21"/>
      <c r="I33" s="21"/>
      <c r="J33" s="106" t="str">
        <f>IF('1_Cadastramento'!$A$34="","",'1_Cadastramento'!$A$34)</f>
        <v>MARIANA</v>
      </c>
      <c r="K33" s="107" t="str">
        <f>IF('1_Cadastramento'!$C$34="","",'1_Cadastramento'!$C$34)</f>
        <v/>
      </c>
      <c r="L33" s="38" t="str">
        <f>IF('1_Cadastramento'!$F$34="","",'1_Cadastramento'!$F$34)</f>
        <v/>
      </c>
      <c r="M33" s="107"/>
      <c r="N33" s="107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104"/>
      <c r="B34" s="104"/>
      <c r="C34" s="104"/>
      <c r="D34" s="104"/>
      <c r="E34" s="109"/>
      <c r="F34" s="21"/>
      <c r="G34" s="21"/>
      <c r="H34" s="21"/>
      <c r="I34" s="21"/>
      <c r="J34" s="106" t="str">
        <f>IF('1_Cadastramento'!$A$35="","",'1_Cadastramento'!$A$35)</f>
        <v>MAURA</v>
      </c>
      <c r="K34" s="107" t="str">
        <f>IF('1_Cadastramento'!$C$35="","",'1_Cadastramento'!$C$35)</f>
        <v/>
      </c>
      <c r="L34" s="38" t="str">
        <f>IF('1_Cadastramento'!$F$35="","",'1_Cadastramento'!$F$35)</f>
        <v/>
      </c>
      <c r="M34" s="107"/>
      <c r="N34" s="107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104"/>
      <c r="B35" s="104"/>
      <c r="C35" s="104"/>
      <c r="D35" s="104"/>
      <c r="E35" s="109"/>
      <c r="F35" s="21"/>
      <c r="G35" s="21"/>
      <c r="H35" s="21"/>
      <c r="I35" s="21"/>
      <c r="J35" s="106" t="str">
        <f>IF('1_Cadastramento'!$A$36="","",'1_Cadastramento'!$A$36)</f>
        <v>PRISCILA</v>
      </c>
      <c r="K35" s="107" t="str">
        <f>IF('1_Cadastramento'!$C$36="","",'1_Cadastramento'!$C$36)</f>
        <v/>
      </c>
      <c r="L35" s="38" t="str">
        <f>IF('1_Cadastramento'!$F$36="","",'1_Cadastramento'!$F$36)</f>
        <v/>
      </c>
      <c r="M35" s="107"/>
      <c r="N35" s="107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104"/>
      <c r="B36" s="104"/>
      <c r="C36" s="104"/>
      <c r="D36" s="104"/>
      <c r="E36" s="109"/>
      <c r="F36" s="21"/>
      <c r="G36" s="21"/>
      <c r="H36" s="21"/>
      <c r="I36" s="21"/>
      <c r="J36" s="106" t="str">
        <f>IF('1_Cadastramento'!$A$37="","",'1_Cadastramento'!$A$37)</f>
        <v>SAMANTA</v>
      </c>
      <c r="K36" s="107" t="str">
        <f>IF('1_Cadastramento'!$C$37="","",'1_Cadastramento'!$C$37)</f>
        <v/>
      </c>
      <c r="L36" s="38" t="str">
        <f>IF('1_Cadastramento'!$F$37="","",'1_Cadastramento'!$F$37)</f>
        <v/>
      </c>
      <c r="M36" s="107"/>
      <c r="N36" s="107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104"/>
      <c r="B37" s="104"/>
      <c r="C37" s="104"/>
      <c r="D37" s="104"/>
      <c r="E37" s="109"/>
      <c r="F37" s="21"/>
      <c r="G37" s="21"/>
      <c r="H37" s="21"/>
      <c r="I37" s="21"/>
      <c r="J37" s="106" t="str">
        <f>IF('1_Cadastramento'!$A$38="","",'1_Cadastramento'!$A$38)</f>
        <v>SIMONE</v>
      </c>
      <c r="K37" s="107" t="str">
        <f>IF('1_Cadastramento'!$C$38="","",'1_Cadastramento'!$C$38)</f>
        <v/>
      </c>
      <c r="L37" s="38" t="str">
        <f>IF('1_Cadastramento'!$F$38="","",'1_Cadastramento'!$F$38)</f>
        <v/>
      </c>
      <c r="M37" s="107"/>
      <c r="N37" s="107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104"/>
      <c r="B38" s="104"/>
      <c r="C38" s="104"/>
      <c r="D38" s="104"/>
      <c r="E38" s="109"/>
      <c r="F38" s="21"/>
      <c r="G38" s="21"/>
      <c r="H38" s="21"/>
      <c r="I38" s="21"/>
      <c r="J38" s="106" t="str">
        <f>IF('1_Cadastramento'!$A$39="","",'1_Cadastramento'!$A$39)</f>
        <v>TAINA</v>
      </c>
      <c r="K38" s="107" t="str">
        <f>IF('1_Cadastramento'!$C$39="","",'1_Cadastramento'!$C$39)</f>
        <v/>
      </c>
      <c r="L38" s="38" t="str">
        <f>IF('1_Cadastramento'!$F$39="","",'1_Cadastramento'!$F$39)</f>
        <v/>
      </c>
      <c r="M38" s="107"/>
      <c r="N38" s="107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104"/>
      <c r="B39" s="104"/>
      <c r="C39" s="104"/>
      <c r="D39" s="104"/>
      <c r="E39" s="109"/>
      <c r="F39" s="21"/>
      <c r="G39" s="21"/>
      <c r="H39" s="21"/>
      <c r="I39" s="21"/>
      <c r="J39" s="106" t="str">
        <f>IF('1_Cadastramento'!$A$40="","",'1_Cadastramento'!$A$40)</f>
        <v>THIAGO</v>
      </c>
      <c r="K39" s="107" t="str">
        <f>IF('1_Cadastramento'!$C$40="","",'1_Cadastramento'!$C$40)</f>
        <v/>
      </c>
      <c r="L39" s="38" t="str">
        <f>IF('1_Cadastramento'!$F$40="","",'1_Cadastramento'!$F$40)</f>
        <v/>
      </c>
      <c r="M39" s="107"/>
      <c r="N39" s="107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104"/>
      <c r="B40" s="104"/>
      <c r="C40" s="104"/>
      <c r="D40" s="104"/>
      <c r="E40" s="109"/>
      <c r="F40" s="21"/>
      <c r="G40" s="21"/>
      <c r="H40" s="21"/>
      <c r="I40" s="21"/>
      <c r="J40" s="106" t="str">
        <f>IF('1_Cadastramento'!$A$41="","",'1_Cadastramento'!$A$41)</f>
        <v>TUANI</v>
      </c>
      <c r="K40" s="107" t="str">
        <f>IF('1_Cadastramento'!$C$41="","",'1_Cadastramento'!$C$41)</f>
        <v/>
      </c>
      <c r="L40" s="38" t="str">
        <f>IF('1_Cadastramento'!$F$41="","",'1_Cadastramento'!$F$41)</f>
        <v/>
      </c>
      <c r="M40" s="107"/>
      <c r="N40" s="107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104"/>
      <c r="B41" s="104"/>
      <c r="C41" s="104"/>
      <c r="D41" s="104"/>
      <c r="E41" s="109"/>
      <c r="F41" s="21"/>
      <c r="G41" s="21"/>
      <c r="H41" s="21"/>
      <c r="I41" s="21"/>
      <c r="J41" s="106" t="str">
        <f>IF('1_Cadastramento'!$A$42="","",'1_Cadastramento'!$A$42)</f>
        <v>VANDERLANE</v>
      </c>
      <c r="K41" s="107" t="str">
        <f>IF('1_Cadastramento'!$C$42="","",'1_Cadastramento'!$C$42)</f>
        <v/>
      </c>
      <c r="L41" s="38" t="str">
        <f>IF('1_Cadastramento'!$F$42="","",'1_Cadastramento'!$F$42)</f>
        <v/>
      </c>
      <c r="M41" s="107"/>
      <c r="N41" s="107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104"/>
      <c r="B42" s="104"/>
      <c r="C42" s="104"/>
      <c r="D42" s="104"/>
      <c r="E42" s="109"/>
      <c r="F42" s="21"/>
      <c r="G42" s="21"/>
      <c r="H42" s="21"/>
      <c r="I42" s="21"/>
      <c r="J42" s="106" t="str">
        <f>IF('1_Cadastramento'!$A$43="","",'1_Cadastramento'!$A$43)</f>
        <v>VINICIUS</v>
      </c>
      <c r="K42" s="107" t="str">
        <f>IF('1_Cadastramento'!$C$43="","",'1_Cadastramento'!$C$43)</f>
        <v/>
      </c>
      <c r="L42" s="38" t="str">
        <f>IF('1_Cadastramento'!$F$43="","",'1_Cadastramento'!$F$43)</f>
        <v/>
      </c>
      <c r="M42" s="107"/>
      <c r="N42" s="107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104"/>
      <c r="B43" s="104"/>
      <c r="C43" s="104"/>
      <c r="D43" s="104"/>
      <c r="E43" s="109"/>
      <c r="F43" s="21"/>
      <c r="G43" s="21"/>
      <c r="H43" s="21"/>
      <c r="I43" s="21"/>
      <c r="J43" s="106" t="str">
        <f>IF('1_Cadastramento'!$A$44="","",'1_Cadastramento'!$A$44)</f>
        <v>VIVIANE</v>
      </c>
      <c r="K43" s="107" t="str">
        <f>IF('1_Cadastramento'!$C$44="","",'1_Cadastramento'!$C$44)</f>
        <v/>
      </c>
      <c r="L43" s="38" t="str">
        <f>IF('1_Cadastramento'!$F$44="","",'1_Cadastramento'!$F$44)</f>
        <v/>
      </c>
      <c r="M43" s="107"/>
      <c r="N43" s="107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104"/>
      <c r="B44" s="104"/>
      <c r="C44" s="104"/>
      <c r="D44" s="104"/>
      <c r="E44" s="109"/>
      <c r="F44" s="21"/>
      <c r="G44" s="21"/>
      <c r="H44" s="21"/>
      <c r="I44" s="21"/>
      <c r="J44" s="106" t="str">
        <f>IF('1_Cadastramento'!$A$45="","",'1_Cadastramento'!$A$45)</f>
        <v/>
      </c>
      <c r="K44" s="107" t="str">
        <f>IF('1_Cadastramento'!$C$45="","",'1_Cadastramento'!$C$45)</f>
        <v/>
      </c>
      <c r="L44" s="38" t="str">
        <f>IF('1_Cadastramento'!$F$45="","",'1_Cadastramento'!$F$45)</f>
        <v/>
      </c>
      <c r="M44" s="107"/>
      <c r="N44" s="107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104"/>
      <c r="B45" s="104"/>
      <c r="C45" s="104"/>
      <c r="D45" s="104"/>
      <c r="E45" s="109"/>
      <c r="F45" s="21"/>
      <c r="G45" s="21"/>
      <c r="H45" s="21"/>
      <c r="I45" s="21"/>
      <c r="J45" s="106" t="str">
        <f>IF('1_Cadastramento'!$A$46="","",'1_Cadastramento'!$A$46)</f>
        <v/>
      </c>
      <c r="K45" s="107" t="str">
        <f>IF('1_Cadastramento'!$C$46="","",'1_Cadastramento'!$C$46)</f>
        <v/>
      </c>
      <c r="L45" s="38" t="str">
        <f>IF('1_Cadastramento'!$F$46="","",'1_Cadastramento'!$F$46)</f>
        <v/>
      </c>
      <c r="M45" s="107"/>
      <c r="N45" s="107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104"/>
      <c r="B46" s="104"/>
      <c r="C46" s="104"/>
      <c r="D46" s="104"/>
      <c r="E46" s="109"/>
      <c r="F46" s="21"/>
      <c r="G46" s="21"/>
      <c r="H46" s="21"/>
      <c r="I46" s="21"/>
      <c r="J46" s="106" t="str">
        <f>IF('1_Cadastramento'!$A$47="","",'1_Cadastramento'!$A$47)</f>
        <v/>
      </c>
      <c r="K46" s="107" t="str">
        <f>IF('1_Cadastramento'!$C$47="","",'1_Cadastramento'!$C$47)</f>
        <v/>
      </c>
      <c r="L46" s="38" t="str">
        <f>IF('1_Cadastramento'!$F$47="","",'1_Cadastramento'!$F$47)</f>
        <v/>
      </c>
      <c r="M46" s="107"/>
      <c r="N46" s="107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104"/>
      <c r="B47" s="104"/>
      <c r="C47" s="104"/>
      <c r="D47" s="104"/>
      <c r="E47" s="109"/>
      <c r="F47" s="21"/>
      <c r="G47" s="21"/>
      <c r="H47" s="21"/>
      <c r="I47" s="21"/>
      <c r="J47" s="106" t="str">
        <f>IF('1_Cadastramento'!$A$48="","",'1_Cadastramento'!$A$48)</f>
        <v/>
      </c>
      <c r="K47" s="107" t="str">
        <f>IF('1_Cadastramento'!$C$48="","",'1_Cadastramento'!$C$48)</f>
        <v/>
      </c>
      <c r="L47" s="38" t="str">
        <f>IF('1_Cadastramento'!$F$48="","",'1_Cadastramento'!$F$48)</f>
        <v/>
      </c>
      <c r="M47" s="107"/>
      <c r="N47" s="107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104"/>
      <c r="B48" s="104"/>
      <c r="C48" s="104"/>
      <c r="D48" s="104"/>
      <c r="E48" s="109"/>
      <c r="F48" s="21"/>
      <c r="G48" s="21"/>
      <c r="H48" s="21"/>
      <c r="I48" s="21"/>
      <c r="J48" s="106" t="str">
        <f>IF('1_Cadastramento'!$A$49="","",'1_Cadastramento'!$A$49)</f>
        <v/>
      </c>
      <c r="K48" s="107" t="str">
        <f>IF('1_Cadastramento'!$C$49="","",'1_Cadastramento'!$C$49)</f>
        <v/>
      </c>
      <c r="L48" s="38" t="str">
        <f>IF('1_Cadastramento'!$F$49="","",'1_Cadastramento'!$F$49)</f>
        <v/>
      </c>
      <c r="M48" s="107"/>
      <c r="N48" s="107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104"/>
      <c r="B49" s="104"/>
      <c r="C49" s="104"/>
      <c r="D49" s="104"/>
      <c r="E49" s="109"/>
      <c r="F49" s="21"/>
      <c r="G49" s="21"/>
      <c r="H49" s="21"/>
      <c r="I49" s="21"/>
      <c r="J49" s="106" t="str">
        <f>IF('1_Cadastramento'!$A$50="","",'1_Cadastramento'!$A$50)</f>
        <v/>
      </c>
      <c r="K49" s="107" t="str">
        <f>IF('1_Cadastramento'!$C$50="","",'1_Cadastramento'!$C$50)</f>
        <v/>
      </c>
      <c r="L49" s="38" t="str">
        <f>IF('1_Cadastramento'!$F$50="","",'1_Cadastramento'!$F$50)</f>
        <v/>
      </c>
      <c r="M49" s="107"/>
      <c r="N49" s="107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104"/>
      <c r="B50" s="104"/>
      <c r="C50" s="104"/>
      <c r="D50" s="104"/>
      <c r="E50" s="109"/>
      <c r="F50" s="21"/>
      <c r="G50" s="21"/>
      <c r="H50" s="21"/>
      <c r="I50" s="21"/>
      <c r="J50" s="106" t="str">
        <f>IF('1_Cadastramento'!$A$51="","",'1_Cadastramento'!$A$51)</f>
        <v/>
      </c>
      <c r="K50" s="107" t="str">
        <f>IF('1_Cadastramento'!$C$51="","",'1_Cadastramento'!$C$51)</f>
        <v/>
      </c>
      <c r="L50" s="38" t="str">
        <f>IF('1_Cadastramento'!$F$51="","",'1_Cadastramento'!$F$51)</f>
        <v/>
      </c>
      <c r="M50" s="107"/>
      <c r="N50" s="107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104"/>
      <c r="B51" s="104"/>
      <c r="C51" s="104"/>
      <c r="D51" s="104"/>
      <c r="E51" s="109"/>
      <c r="F51" s="21"/>
      <c r="G51" s="21"/>
      <c r="H51" s="21"/>
      <c r="I51" s="21"/>
      <c r="J51" s="106" t="str">
        <f>IF('1_Cadastramento'!$A$52="","",'1_Cadastramento'!$A$52)</f>
        <v/>
      </c>
      <c r="K51" s="107" t="str">
        <f>IF('1_Cadastramento'!$C$52="","",'1_Cadastramento'!$C$52)</f>
        <v/>
      </c>
      <c r="L51" s="38" t="str">
        <f>IF('1_Cadastramento'!$F$52="","",'1_Cadastramento'!$F$52)</f>
        <v/>
      </c>
      <c r="M51" s="107"/>
      <c r="N51" s="107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104"/>
      <c r="B52" s="104"/>
      <c r="C52" s="104"/>
      <c r="D52" s="104"/>
      <c r="E52" s="109"/>
      <c r="F52" s="21"/>
      <c r="G52" s="21"/>
      <c r="H52" s="21"/>
      <c r="I52" s="21"/>
      <c r="J52" s="106" t="str">
        <f>IF('1_Cadastramento'!$A$53="","",'1_Cadastramento'!$A$53)</f>
        <v/>
      </c>
      <c r="K52" s="107" t="str">
        <f>IF('1_Cadastramento'!$C$53="","",'1_Cadastramento'!$C$53)</f>
        <v/>
      </c>
      <c r="L52" s="38" t="str">
        <f>IF('1_Cadastramento'!$F$53="","",'1_Cadastramento'!$F$53)</f>
        <v/>
      </c>
      <c r="M52" s="107"/>
      <c r="N52" s="107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104"/>
      <c r="B53" s="104"/>
      <c r="C53" s="104"/>
      <c r="D53" s="104"/>
      <c r="E53" s="109"/>
      <c r="F53" s="21"/>
      <c r="G53" s="21"/>
      <c r="H53" s="21"/>
      <c r="I53" s="21"/>
      <c r="J53" s="106" t="str">
        <f>IF('1_Cadastramento'!$A$54="","",'1_Cadastramento'!$A$54)</f>
        <v/>
      </c>
      <c r="K53" s="107" t="str">
        <f>IF('1_Cadastramento'!$C$54="","",'1_Cadastramento'!$C$54)</f>
        <v/>
      </c>
      <c r="L53" s="38" t="str">
        <f>IF('1_Cadastramento'!$F$54="","",'1_Cadastramento'!$F$54)</f>
        <v/>
      </c>
      <c r="M53" s="107"/>
      <c r="N53" s="107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104"/>
      <c r="B54" s="104"/>
      <c r="C54" s="104"/>
      <c r="D54" s="104"/>
      <c r="E54" s="109"/>
      <c r="F54" s="21"/>
      <c r="G54" s="21"/>
      <c r="H54" s="21"/>
      <c r="I54" s="21"/>
      <c r="J54" s="106" t="str">
        <f>IF('1_Cadastramento'!$A$55="","",'1_Cadastramento'!$A$55)</f>
        <v/>
      </c>
      <c r="K54" s="107" t="str">
        <f>IF('1_Cadastramento'!$C$55="","",'1_Cadastramento'!$C$55)</f>
        <v/>
      </c>
      <c r="L54" s="38" t="str">
        <f>IF('1_Cadastramento'!$F$55="","",'1_Cadastramento'!$F$55)</f>
        <v/>
      </c>
      <c r="M54" s="107"/>
      <c r="N54" s="107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104"/>
      <c r="B55" s="104"/>
      <c r="C55" s="104"/>
      <c r="D55" s="104"/>
      <c r="E55" s="109"/>
      <c r="F55" s="21"/>
      <c r="G55" s="21"/>
      <c r="H55" s="21"/>
      <c r="I55" s="21"/>
      <c r="J55" s="106" t="str">
        <f>IF('1_Cadastramento'!$A$56="","",'1_Cadastramento'!$A$56)</f>
        <v/>
      </c>
      <c r="K55" s="107" t="str">
        <f>IF('1_Cadastramento'!$C$56="","",'1_Cadastramento'!$C$56)</f>
        <v/>
      </c>
      <c r="L55" s="38" t="str">
        <f>IF('1_Cadastramento'!$F$56="","",'1_Cadastramento'!$F$56)</f>
        <v/>
      </c>
      <c r="M55" s="107"/>
      <c r="N55" s="107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104"/>
      <c r="B56" s="104"/>
      <c r="C56" s="104"/>
      <c r="D56" s="104"/>
      <c r="E56" s="109"/>
      <c r="F56" s="21"/>
      <c r="G56" s="21"/>
      <c r="H56" s="21"/>
      <c r="I56" s="21"/>
      <c r="J56" s="106" t="str">
        <f>IF('1_Cadastramento'!$A$57="","",'1_Cadastramento'!$A$57)</f>
        <v/>
      </c>
      <c r="K56" s="107" t="str">
        <f>IF('1_Cadastramento'!$C$57="","",'1_Cadastramento'!$C$57)</f>
        <v/>
      </c>
      <c r="L56" s="38" t="str">
        <f>IF('1_Cadastramento'!$F$57="","",'1_Cadastramento'!$F$57)</f>
        <v/>
      </c>
      <c r="M56" s="107"/>
      <c r="N56" s="107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104"/>
      <c r="B57" s="104"/>
      <c r="C57" s="104"/>
      <c r="D57" s="104"/>
      <c r="E57" s="109"/>
      <c r="F57" s="21"/>
      <c r="G57" s="21"/>
      <c r="H57" s="21"/>
      <c r="I57" s="21"/>
      <c r="J57" s="106" t="str">
        <f>IF('1_Cadastramento'!$A$58="","",'1_Cadastramento'!$A$58)</f>
        <v/>
      </c>
      <c r="K57" s="107" t="str">
        <f>IF('1_Cadastramento'!$C$58="","",'1_Cadastramento'!$C$58)</f>
        <v/>
      </c>
      <c r="L57" s="38" t="str">
        <f>IF('1_Cadastramento'!$F$58="","",'1_Cadastramento'!$F$58)</f>
        <v/>
      </c>
      <c r="M57" s="107"/>
      <c r="N57" s="107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104"/>
      <c r="B58" s="104"/>
      <c r="C58" s="104"/>
      <c r="D58" s="104"/>
      <c r="E58" s="109"/>
      <c r="F58" s="21"/>
      <c r="G58" s="21"/>
      <c r="H58" s="21"/>
      <c r="I58" s="21"/>
      <c r="J58" s="106" t="str">
        <f>IF('1_Cadastramento'!$A$59="","",'1_Cadastramento'!$A$59)</f>
        <v/>
      </c>
      <c r="K58" s="107" t="str">
        <f>IF('1_Cadastramento'!$C$59="","",'1_Cadastramento'!$C$59)</f>
        <v/>
      </c>
      <c r="L58" s="38" t="str">
        <f>IF('1_Cadastramento'!$F$59="","",'1_Cadastramento'!$F$59)</f>
        <v/>
      </c>
      <c r="M58" s="107"/>
      <c r="N58" s="107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104"/>
      <c r="B59" s="104"/>
      <c r="C59" s="104"/>
      <c r="D59" s="104"/>
      <c r="E59" s="109"/>
      <c r="F59" s="21"/>
      <c r="G59" s="21"/>
      <c r="H59" s="21"/>
      <c r="I59" s="21"/>
      <c r="J59" s="106" t="str">
        <f>IF('1_Cadastramento'!$A$60="","",'1_Cadastramento'!$A$60)</f>
        <v/>
      </c>
      <c r="K59" s="107" t="str">
        <f>IF('1_Cadastramento'!$C$60="","",'1_Cadastramento'!$C$60)</f>
        <v/>
      </c>
      <c r="L59" s="38" t="str">
        <f>IF('1_Cadastramento'!$F$60="","",'1_Cadastramento'!$F$60)</f>
        <v/>
      </c>
      <c r="M59" s="107"/>
      <c r="N59" s="107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104"/>
      <c r="B60" s="104"/>
      <c r="C60" s="104"/>
      <c r="D60" s="104"/>
      <c r="E60" s="109"/>
      <c r="F60" s="21"/>
      <c r="G60" s="21"/>
      <c r="H60" s="21"/>
      <c r="I60" s="21"/>
      <c r="J60" s="106" t="str">
        <f>IF('1_Cadastramento'!$A$61="","",'1_Cadastramento'!$A$61)</f>
        <v/>
      </c>
      <c r="K60" s="107" t="str">
        <f>IF('1_Cadastramento'!$C$61="","",'1_Cadastramento'!$C$61)</f>
        <v/>
      </c>
      <c r="L60" s="38" t="str">
        <f>IF('1_Cadastramento'!$F$61="","",'1_Cadastramento'!$F$61)</f>
        <v/>
      </c>
      <c r="M60" s="107"/>
      <c r="N60" s="107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104"/>
      <c r="B61" s="104"/>
      <c r="C61" s="104"/>
      <c r="D61" s="104"/>
      <c r="E61" s="109"/>
      <c r="F61" s="21"/>
      <c r="G61" s="21"/>
      <c r="H61" s="21"/>
      <c r="I61" s="21"/>
      <c r="J61" s="106" t="str">
        <f>IF('1_Cadastramento'!$A$62="","",'1_Cadastramento'!$A$62)</f>
        <v/>
      </c>
      <c r="K61" s="107" t="str">
        <f>IF('1_Cadastramento'!$C$62="","",'1_Cadastramento'!$C$62)</f>
        <v/>
      </c>
      <c r="L61" s="38" t="str">
        <f>IF('1_Cadastramento'!$F$62="","",'1_Cadastramento'!$F$62)</f>
        <v/>
      </c>
      <c r="M61" s="107"/>
      <c r="N61" s="107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104"/>
      <c r="B62" s="104"/>
      <c r="C62" s="104"/>
      <c r="D62" s="104"/>
      <c r="E62" s="109"/>
      <c r="F62" s="21"/>
      <c r="G62" s="21"/>
      <c r="H62" s="21"/>
      <c r="I62" s="21"/>
      <c r="J62" s="106" t="str">
        <f>IF('1_Cadastramento'!$A$63="","",'1_Cadastramento'!$A$63)</f>
        <v/>
      </c>
      <c r="K62" s="107" t="str">
        <f>IF('1_Cadastramento'!$C$63="","",'1_Cadastramento'!$C$63)</f>
        <v/>
      </c>
      <c r="L62" s="38" t="str">
        <f>IF('1_Cadastramento'!$F$63="","",'1_Cadastramento'!$F$63)</f>
        <v/>
      </c>
      <c r="M62" s="107"/>
      <c r="N62" s="107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104"/>
      <c r="B63" s="104"/>
      <c r="C63" s="104"/>
      <c r="D63" s="104"/>
      <c r="E63" s="109"/>
      <c r="F63" s="21"/>
      <c r="G63" s="21"/>
      <c r="H63" s="21"/>
      <c r="I63" s="21"/>
      <c r="J63" s="106" t="str">
        <f>IF('1_Cadastramento'!$A$64="","",'1_Cadastramento'!$A$64)</f>
        <v/>
      </c>
      <c r="K63" s="107" t="str">
        <f>IF('1_Cadastramento'!$C$64="","",'1_Cadastramento'!$C$64)</f>
        <v/>
      </c>
      <c r="L63" s="38" t="str">
        <f>IF('1_Cadastramento'!$F$64="","",'1_Cadastramento'!$F$64)</f>
        <v/>
      </c>
      <c r="M63" s="107"/>
      <c r="N63" s="107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104"/>
      <c r="B64" s="104"/>
      <c r="C64" s="104"/>
      <c r="D64" s="104"/>
      <c r="E64" s="109"/>
      <c r="F64" s="21"/>
      <c r="G64" s="21"/>
      <c r="H64" s="21"/>
      <c r="I64" s="21"/>
      <c r="J64" s="106" t="str">
        <f>IF('1_Cadastramento'!$A$65="","",'1_Cadastramento'!$A$65)</f>
        <v/>
      </c>
      <c r="K64" s="107" t="str">
        <f>IF('1_Cadastramento'!$C$65="","",'1_Cadastramento'!$C$65)</f>
        <v/>
      </c>
      <c r="L64" s="38" t="str">
        <f>IF('1_Cadastramento'!$F$65="","",'1_Cadastramento'!$F$65)</f>
        <v/>
      </c>
      <c r="M64" s="107"/>
      <c r="N64" s="107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104"/>
      <c r="B65" s="104"/>
      <c r="C65" s="104"/>
      <c r="D65" s="104"/>
      <c r="E65" s="109"/>
      <c r="F65" s="21"/>
      <c r="G65" s="21"/>
      <c r="H65" s="21"/>
      <c r="I65" s="21"/>
      <c r="J65" s="106" t="str">
        <f>IF('1_Cadastramento'!$A$66="","",'1_Cadastramento'!$A$66)</f>
        <v/>
      </c>
      <c r="K65" s="107" t="str">
        <f>IF('1_Cadastramento'!$C$66="","",'1_Cadastramento'!$C$66)</f>
        <v/>
      </c>
      <c r="L65" s="38" t="str">
        <f>IF('1_Cadastramento'!$F$66="","",'1_Cadastramento'!$F$66)</f>
        <v/>
      </c>
      <c r="M65" s="107"/>
      <c r="N65" s="107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104"/>
      <c r="B66" s="104"/>
      <c r="C66" s="104"/>
      <c r="D66" s="104"/>
      <c r="E66" s="109"/>
      <c r="F66" s="21"/>
      <c r="G66" s="21"/>
      <c r="H66" s="21"/>
      <c r="I66" s="21"/>
      <c r="J66" s="106" t="str">
        <f>IF('1_Cadastramento'!$A$67="","",'1_Cadastramento'!$A$67)</f>
        <v/>
      </c>
      <c r="K66" s="107" t="str">
        <f>IF('1_Cadastramento'!$C$67="","",'1_Cadastramento'!$C$67)</f>
        <v/>
      </c>
      <c r="L66" s="38" t="str">
        <f>IF('1_Cadastramento'!$F$67="","",'1_Cadastramento'!$F$67)</f>
        <v/>
      </c>
      <c r="M66" s="107"/>
      <c r="N66" s="107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104"/>
      <c r="B67" s="104"/>
      <c r="C67" s="104"/>
      <c r="D67" s="104"/>
      <c r="E67" s="109"/>
      <c r="F67" s="21"/>
      <c r="G67" s="21"/>
      <c r="H67" s="21"/>
      <c r="I67" s="21"/>
      <c r="J67" s="106" t="str">
        <f>IF('1_Cadastramento'!$A$68="","",'1_Cadastramento'!$A$68)</f>
        <v/>
      </c>
      <c r="K67" s="107" t="str">
        <f>IF('1_Cadastramento'!$C$68="","",'1_Cadastramento'!$C$68)</f>
        <v/>
      </c>
      <c r="L67" s="38" t="str">
        <f>IF('1_Cadastramento'!$F$68="","",'1_Cadastramento'!$F$68)</f>
        <v/>
      </c>
      <c r="M67" s="107"/>
      <c r="N67" s="107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104"/>
      <c r="B68" s="104"/>
      <c r="C68" s="104"/>
      <c r="D68" s="104"/>
      <c r="E68" s="109"/>
      <c r="F68" s="21"/>
      <c r="G68" s="21"/>
      <c r="H68" s="21"/>
      <c r="I68" s="21"/>
      <c r="J68" s="106" t="str">
        <f>IF('1_Cadastramento'!$A$69="","",'1_Cadastramento'!$A$69)</f>
        <v/>
      </c>
      <c r="K68" s="107" t="str">
        <f>IF('1_Cadastramento'!$C$69="","",'1_Cadastramento'!$C$69)</f>
        <v/>
      </c>
      <c r="L68" s="38" t="str">
        <f>IF('1_Cadastramento'!$F$69="","",'1_Cadastramento'!$F$69)</f>
        <v/>
      </c>
      <c r="M68" s="107"/>
      <c r="N68" s="107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104"/>
      <c r="B69" s="104"/>
      <c r="C69" s="104"/>
      <c r="D69" s="104"/>
      <c r="E69" s="109"/>
      <c r="F69" s="21"/>
      <c r="G69" s="21"/>
      <c r="H69" s="21"/>
      <c r="I69" s="21"/>
      <c r="J69" s="106" t="str">
        <f>IF('1_Cadastramento'!$A$70="","",'1_Cadastramento'!$A$70)</f>
        <v/>
      </c>
      <c r="K69" s="107" t="str">
        <f>IF('1_Cadastramento'!$C$70="","",'1_Cadastramento'!$C$70)</f>
        <v/>
      </c>
      <c r="L69" s="38" t="str">
        <f>IF('1_Cadastramento'!$F$70="","",'1_Cadastramento'!$F$70)</f>
        <v/>
      </c>
      <c r="M69" s="107"/>
      <c r="N69" s="107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104"/>
      <c r="B70" s="104"/>
      <c r="C70" s="104"/>
      <c r="D70" s="104"/>
      <c r="E70" s="109"/>
      <c r="F70" s="21"/>
      <c r="G70" s="21"/>
      <c r="H70" s="21"/>
      <c r="I70" s="21"/>
      <c r="J70" s="106" t="str">
        <f>IF('1_Cadastramento'!$A$71="","",'1_Cadastramento'!$A$71)</f>
        <v/>
      </c>
      <c r="K70" s="107" t="str">
        <f>IF('1_Cadastramento'!$C$71="","",'1_Cadastramento'!$C$71)</f>
        <v/>
      </c>
      <c r="L70" s="38" t="str">
        <f>IF('1_Cadastramento'!$F$71="","",'1_Cadastramento'!$F$71)</f>
        <v/>
      </c>
      <c r="M70" s="107"/>
      <c r="N70" s="107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104"/>
      <c r="B71" s="104"/>
      <c r="C71" s="104"/>
      <c r="D71" s="104"/>
      <c r="E71" s="109"/>
      <c r="F71" s="21"/>
      <c r="G71" s="21"/>
      <c r="H71" s="21"/>
      <c r="I71" s="21"/>
      <c r="J71" s="106" t="str">
        <f>IF('1_Cadastramento'!$A$72="","",'1_Cadastramento'!$A$72)</f>
        <v/>
      </c>
      <c r="K71" s="107" t="str">
        <f>IF('1_Cadastramento'!$C$72="","",'1_Cadastramento'!$C$72)</f>
        <v/>
      </c>
      <c r="L71" s="38" t="str">
        <f>IF('1_Cadastramento'!$F$72="","",'1_Cadastramento'!$F$72)</f>
        <v/>
      </c>
      <c r="M71" s="107"/>
      <c r="N71" s="107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104"/>
      <c r="B72" s="104"/>
      <c r="C72" s="104"/>
      <c r="D72" s="104"/>
      <c r="E72" s="109"/>
      <c r="F72" s="21"/>
      <c r="G72" s="21"/>
      <c r="H72" s="21"/>
      <c r="I72" s="21"/>
      <c r="J72" s="106" t="str">
        <f>IF('1_Cadastramento'!$A$73="","",'1_Cadastramento'!$A$73)</f>
        <v/>
      </c>
      <c r="K72" s="107" t="str">
        <f>IF('1_Cadastramento'!$C$73="","",'1_Cadastramento'!$C$73)</f>
        <v/>
      </c>
      <c r="L72" s="38" t="str">
        <f>IF('1_Cadastramento'!$F$73="","",'1_Cadastramento'!$F$73)</f>
        <v/>
      </c>
      <c r="M72" s="107"/>
      <c r="N72" s="107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104"/>
      <c r="B73" s="104"/>
      <c r="C73" s="104"/>
      <c r="D73" s="104"/>
      <c r="E73" s="109"/>
      <c r="F73" s="21"/>
      <c r="G73" s="21"/>
      <c r="H73" s="21"/>
      <c r="I73" s="21"/>
      <c r="J73" s="106" t="str">
        <f>IF('1_Cadastramento'!$A$74="","",'1_Cadastramento'!$A$74)</f>
        <v/>
      </c>
      <c r="K73" s="107" t="str">
        <f>IF('1_Cadastramento'!$C$74="","",'1_Cadastramento'!$C$74)</f>
        <v/>
      </c>
      <c r="L73" s="38" t="str">
        <f>IF('1_Cadastramento'!$F$74="","",'1_Cadastramento'!$F$74)</f>
        <v/>
      </c>
      <c r="M73" s="107"/>
      <c r="N73" s="107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104"/>
      <c r="B74" s="104"/>
      <c r="C74" s="104"/>
      <c r="D74" s="104"/>
      <c r="E74" s="109"/>
      <c r="F74" s="21"/>
      <c r="G74" s="21"/>
      <c r="H74" s="21"/>
      <c r="I74" s="21"/>
      <c r="J74" s="106" t="str">
        <f>IF('1_Cadastramento'!$A$75="","",'1_Cadastramento'!$A$75)</f>
        <v/>
      </c>
      <c r="K74" s="107" t="str">
        <f>IF('1_Cadastramento'!$C$75="","",'1_Cadastramento'!$C$75)</f>
        <v/>
      </c>
      <c r="L74" s="38" t="str">
        <f>IF('1_Cadastramento'!$F$75="","",'1_Cadastramento'!$F$75)</f>
        <v/>
      </c>
      <c r="M74" s="107"/>
      <c r="N74" s="107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104"/>
      <c r="B75" s="104"/>
      <c r="C75" s="104"/>
      <c r="D75" s="104"/>
      <c r="E75" s="109"/>
      <c r="F75" s="21"/>
      <c r="G75" s="21"/>
      <c r="H75" s="21"/>
      <c r="I75" s="21"/>
      <c r="J75" s="106" t="str">
        <f>IF('1_Cadastramento'!$A$76="","",'1_Cadastramento'!$A$76)</f>
        <v/>
      </c>
      <c r="K75" s="107" t="str">
        <f>IF('1_Cadastramento'!$C$76="","",'1_Cadastramento'!$C$76)</f>
        <v/>
      </c>
      <c r="L75" s="38" t="str">
        <f>IF('1_Cadastramento'!$F$76="","",'1_Cadastramento'!$F$76)</f>
        <v/>
      </c>
      <c r="M75" s="107"/>
      <c r="N75" s="107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104"/>
      <c r="B76" s="104"/>
      <c r="C76" s="104"/>
      <c r="D76" s="104"/>
      <c r="E76" s="109"/>
      <c r="F76" s="21"/>
      <c r="G76" s="21"/>
      <c r="H76" s="21"/>
      <c r="I76" s="21"/>
      <c r="J76" s="106" t="str">
        <f>IF('1_Cadastramento'!$A$77="","",'1_Cadastramento'!$A$77)</f>
        <v/>
      </c>
      <c r="K76" s="107" t="str">
        <f>IF('1_Cadastramento'!$C$77="","",'1_Cadastramento'!$C$77)</f>
        <v/>
      </c>
      <c r="L76" s="38" t="str">
        <f>IF('1_Cadastramento'!$F$77="","",'1_Cadastramento'!$F$77)</f>
        <v/>
      </c>
      <c r="M76" s="107"/>
      <c r="N76" s="107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104"/>
      <c r="B77" s="104"/>
      <c r="C77" s="104"/>
      <c r="D77" s="104"/>
      <c r="E77" s="109"/>
      <c r="F77" s="21"/>
      <c r="G77" s="21"/>
      <c r="H77" s="21"/>
      <c r="I77" s="21"/>
      <c r="J77" s="106" t="str">
        <f>IF('1_Cadastramento'!$A$78="","",'1_Cadastramento'!$A$78)</f>
        <v/>
      </c>
      <c r="K77" s="107" t="str">
        <f>IF('1_Cadastramento'!$C$78="","",'1_Cadastramento'!$C$78)</f>
        <v/>
      </c>
      <c r="L77" s="38" t="str">
        <f>IF('1_Cadastramento'!$F$78="","",'1_Cadastramento'!$F$78)</f>
        <v/>
      </c>
      <c r="M77" s="107"/>
      <c r="N77" s="107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104"/>
      <c r="B78" s="104"/>
      <c r="C78" s="104"/>
      <c r="D78" s="104"/>
      <c r="E78" s="109"/>
      <c r="F78" s="21"/>
      <c r="G78" s="21"/>
      <c r="H78" s="21"/>
      <c r="I78" s="21"/>
      <c r="J78" s="106" t="str">
        <f>IF('1_Cadastramento'!$A$79="","",'1_Cadastramento'!$A$79)</f>
        <v/>
      </c>
      <c r="K78" s="107" t="str">
        <f>IF('1_Cadastramento'!$C$79="","",'1_Cadastramento'!$C$79)</f>
        <v/>
      </c>
      <c r="L78" s="38" t="str">
        <f>IF('1_Cadastramento'!$F$79="","",'1_Cadastramento'!$F$79)</f>
        <v/>
      </c>
      <c r="M78" s="107"/>
      <c r="N78" s="107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104"/>
      <c r="B79" s="104"/>
      <c r="C79" s="104"/>
      <c r="D79" s="104"/>
      <c r="E79" s="109"/>
      <c r="F79" s="21"/>
      <c r="G79" s="21"/>
      <c r="H79" s="21"/>
      <c r="I79" s="21"/>
      <c r="J79" s="106" t="str">
        <f>IF('1_Cadastramento'!$A$80="","",'1_Cadastramento'!$A$80)</f>
        <v/>
      </c>
      <c r="K79" s="107" t="str">
        <f>IF('1_Cadastramento'!$C$80="","",'1_Cadastramento'!$C$80)</f>
        <v/>
      </c>
      <c r="L79" s="38" t="str">
        <f>IF('1_Cadastramento'!$F$80="","",'1_Cadastramento'!$F$80)</f>
        <v/>
      </c>
      <c r="M79" s="107"/>
      <c r="N79" s="107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104"/>
      <c r="B80" s="104"/>
      <c r="C80" s="104"/>
      <c r="D80" s="104"/>
      <c r="E80" s="109"/>
      <c r="F80" s="21"/>
      <c r="G80" s="21"/>
      <c r="H80" s="21"/>
      <c r="I80" s="21"/>
      <c r="J80" s="106" t="str">
        <f>IF('1_Cadastramento'!$A$81="","",'1_Cadastramento'!$A$81)</f>
        <v/>
      </c>
      <c r="K80" s="107" t="str">
        <f>IF('1_Cadastramento'!$C$81="","",'1_Cadastramento'!$C$81)</f>
        <v/>
      </c>
      <c r="L80" s="38" t="str">
        <f>IF('1_Cadastramento'!$F$81="","",'1_Cadastramento'!$F$81)</f>
        <v/>
      </c>
      <c r="M80" s="107"/>
      <c r="N80" s="107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104"/>
      <c r="B81" s="104"/>
      <c r="C81" s="104"/>
      <c r="D81" s="104"/>
      <c r="E81" s="109"/>
      <c r="F81" s="21"/>
      <c r="G81" s="21"/>
      <c r="H81" s="21"/>
      <c r="I81" s="21"/>
      <c r="J81" s="106" t="str">
        <f>IF('1_Cadastramento'!$A$82="","",'1_Cadastramento'!$A$82)</f>
        <v/>
      </c>
      <c r="K81" s="107" t="str">
        <f>IF('1_Cadastramento'!$C$82="","",'1_Cadastramento'!$C$82)</f>
        <v/>
      </c>
      <c r="L81" s="38" t="str">
        <f>IF('1_Cadastramento'!$F$82="","",'1_Cadastramento'!$F$82)</f>
        <v/>
      </c>
      <c r="M81" s="107"/>
      <c r="N81" s="107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104"/>
      <c r="B82" s="104"/>
      <c r="C82" s="104"/>
      <c r="D82" s="104"/>
      <c r="E82" s="109"/>
      <c r="F82" s="21"/>
      <c r="G82" s="21"/>
      <c r="H82" s="21"/>
      <c r="I82" s="21"/>
      <c r="J82" s="106" t="str">
        <f>IF('1_Cadastramento'!$A$83="","",'1_Cadastramento'!$A$83)</f>
        <v/>
      </c>
      <c r="K82" s="107" t="str">
        <f>IF('1_Cadastramento'!$C$83="","",'1_Cadastramento'!$C$83)</f>
        <v/>
      </c>
      <c r="L82" s="38" t="str">
        <f>IF('1_Cadastramento'!$F$83="","",'1_Cadastramento'!$F$83)</f>
        <v/>
      </c>
      <c r="M82" s="107"/>
      <c r="N82" s="107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104"/>
      <c r="B83" s="104"/>
      <c r="C83" s="104"/>
      <c r="D83" s="104"/>
      <c r="E83" s="109"/>
      <c r="F83" s="21"/>
      <c r="G83" s="21"/>
      <c r="H83" s="21"/>
      <c r="I83" s="21"/>
      <c r="J83" s="106" t="str">
        <f>IF('1_Cadastramento'!$A$84="","",'1_Cadastramento'!$A$84)</f>
        <v/>
      </c>
      <c r="K83" s="107" t="str">
        <f>IF('1_Cadastramento'!$C$84="","",'1_Cadastramento'!$C$84)</f>
        <v/>
      </c>
      <c r="L83" s="38" t="str">
        <f>IF('1_Cadastramento'!$F$84="","",'1_Cadastramento'!$F$84)</f>
        <v/>
      </c>
      <c r="M83" s="107"/>
      <c r="N83" s="107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104"/>
      <c r="B84" s="104"/>
      <c r="C84" s="104"/>
      <c r="D84" s="104"/>
      <c r="E84" s="109"/>
      <c r="F84" s="21"/>
      <c r="G84" s="21"/>
      <c r="H84" s="21"/>
      <c r="I84" s="21"/>
      <c r="J84" s="106" t="str">
        <f>IF('1_Cadastramento'!$A$85="","",'1_Cadastramento'!$A$85)</f>
        <v/>
      </c>
      <c r="K84" s="107" t="str">
        <f>IF('1_Cadastramento'!$C$85="","",'1_Cadastramento'!$C$85)</f>
        <v/>
      </c>
      <c r="L84" s="38" t="str">
        <f>IF('1_Cadastramento'!$F$85="","",'1_Cadastramento'!$F$85)</f>
        <v/>
      </c>
      <c r="M84" s="107"/>
      <c r="N84" s="107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104"/>
      <c r="B85" s="104"/>
      <c r="C85" s="104"/>
      <c r="D85" s="104"/>
      <c r="E85" s="109"/>
      <c r="F85" s="21"/>
      <c r="G85" s="21"/>
      <c r="H85" s="21"/>
      <c r="I85" s="21"/>
      <c r="J85" s="106" t="str">
        <f>IF('1_Cadastramento'!$A$86="","",'1_Cadastramento'!$A$86)</f>
        <v/>
      </c>
      <c r="K85" s="107" t="str">
        <f>IF('1_Cadastramento'!$C$86="","",'1_Cadastramento'!$C$86)</f>
        <v/>
      </c>
      <c r="L85" s="38" t="str">
        <f>IF('1_Cadastramento'!$F$86="","",'1_Cadastramento'!$F$86)</f>
        <v/>
      </c>
      <c r="M85" s="107"/>
      <c r="N85" s="107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104"/>
      <c r="B86" s="104"/>
      <c r="C86" s="104"/>
      <c r="D86" s="104"/>
      <c r="E86" s="109"/>
      <c r="F86" s="21"/>
      <c r="G86" s="21"/>
      <c r="H86" s="21"/>
      <c r="I86" s="21"/>
      <c r="J86" s="106" t="str">
        <f>IF('1_Cadastramento'!$A$87="","",'1_Cadastramento'!$A$87)</f>
        <v/>
      </c>
      <c r="K86" s="107" t="str">
        <f>IF('1_Cadastramento'!$C$87="","",'1_Cadastramento'!$C$87)</f>
        <v/>
      </c>
      <c r="L86" s="38" t="str">
        <f>IF('1_Cadastramento'!$F$87="","",'1_Cadastramento'!$F$87)</f>
        <v/>
      </c>
      <c r="M86" s="107"/>
      <c r="N86" s="107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104"/>
      <c r="B87" s="104"/>
      <c r="C87" s="104"/>
      <c r="D87" s="104"/>
      <c r="E87" s="109"/>
      <c r="F87" s="21"/>
      <c r="G87" s="21"/>
      <c r="H87" s="21"/>
      <c r="I87" s="21"/>
      <c r="J87" s="106" t="str">
        <f>IF('1_Cadastramento'!$A$88="","",'1_Cadastramento'!$A$88)</f>
        <v/>
      </c>
      <c r="K87" s="107" t="str">
        <f>IF('1_Cadastramento'!$C$88="","",'1_Cadastramento'!$C$88)</f>
        <v/>
      </c>
      <c r="L87" s="38" t="str">
        <f>IF('1_Cadastramento'!$F$88="","",'1_Cadastramento'!$F$88)</f>
        <v/>
      </c>
      <c r="M87" s="107"/>
      <c r="N87" s="107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104"/>
      <c r="B88" s="104"/>
      <c r="C88" s="104"/>
      <c r="D88" s="104"/>
      <c r="E88" s="109"/>
      <c r="F88" s="21"/>
      <c r="G88" s="21"/>
      <c r="H88" s="21"/>
      <c r="I88" s="21"/>
      <c r="J88" s="106" t="str">
        <f>IF('1_Cadastramento'!$A$89="","",'1_Cadastramento'!$A$89)</f>
        <v/>
      </c>
      <c r="K88" s="107" t="str">
        <f>IF('1_Cadastramento'!$C$89="","",'1_Cadastramento'!$C$89)</f>
        <v/>
      </c>
      <c r="L88" s="38" t="str">
        <f>IF('1_Cadastramento'!$F$89="","",'1_Cadastramento'!$F$89)</f>
        <v/>
      </c>
      <c r="M88" s="107"/>
      <c r="N88" s="107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104"/>
      <c r="B89" s="104"/>
      <c r="C89" s="104"/>
      <c r="D89" s="104"/>
      <c r="E89" s="109"/>
      <c r="F89" s="21"/>
      <c r="G89" s="21"/>
      <c r="H89" s="21"/>
      <c r="I89" s="21"/>
      <c r="J89" s="106" t="str">
        <f>IF('1_Cadastramento'!$A$90="","",'1_Cadastramento'!$A$90)</f>
        <v/>
      </c>
      <c r="K89" s="107" t="str">
        <f>IF('1_Cadastramento'!$C$90="","",'1_Cadastramento'!$C$90)</f>
        <v/>
      </c>
      <c r="L89" s="38" t="str">
        <f>IF('1_Cadastramento'!$F$90="","",'1_Cadastramento'!$F$90)</f>
        <v/>
      </c>
      <c r="M89" s="107"/>
      <c r="N89" s="107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104"/>
      <c r="B90" s="104"/>
      <c r="C90" s="104"/>
      <c r="D90" s="104"/>
      <c r="E90" s="109"/>
      <c r="F90" s="21"/>
      <c r="G90" s="21"/>
      <c r="H90" s="21"/>
      <c r="I90" s="21"/>
      <c r="J90" s="106" t="str">
        <f>IF('1_Cadastramento'!$A$91="","",'1_Cadastramento'!$A$91)</f>
        <v/>
      </c>
      <c r="K90" s="107" t="str">
        <f>IF('1_Cadastramento'!$C$91="","",'1_Cadastramento'!$C$91)</f>
        <v/>
      </c>
      <c r="L90" s="38" t="str">
        <f>IF('1_Cadastramento'!$F$91="","",'1_Cadastramento'!$F$91)</f>
        <v/>
      </c>
      <c r="M90" s="107"/>
      <c r="N90" s="107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104"/>
      <c r="B91" s="104"/>
      <c r="C91" s="104"/>
      <c r="D91" s="104"/>
      <c r="E91" s="109"/>
      <c r="F91" s="21"/>
      <c r="G91" s="21"/>
      <c r="H91" s="21"/>
      <c r="I91" s="21"/>
      <c r="J91" s="106" t="str">
        <f>IF('1_Cadastramento'!$A$92="","",'1_Cadastramento'!$A$92)</f>
        <v/>
      </c>
      <c r="K91" s="107" t="str">
        <f>IF('1_Cadastramento'!$C$92="","",'1_Cadastramento'!$C$92)</f>
        <v/>
      </c>
      <c r="L91" s="38" t="str">
        <f>IF('1_Cadastramento'!$F$92="","",'1_Cadastramento'!$F$92)</f>
        <v/>
      </c>
      <c r="M91" s="107"/>
      <c r="N91" s="107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104"/>
      <c r="B92" s="104"/>
      <c r="C92" s="104"/>
      <c r="D92" s="104"/>
      <c r="E92" s="109"/>
      <c r="F92" s="21"/>
      <c r="G92" s="21"/>
      <c r="H92" s="21"/>
      <c r="I92" s="21"/>
      <c r="J92" s="106" t="str">
        <f>IF('1_Cadastramento'!$A$93="","",'1_Cadastramento'!$A$93)</f>
        <v/>
      </c>
      <c r="K92" s="107" t="str">
        <f>IF('1_Cadastramento'!$C$93="","",'1_Cadastramento'!$C$93)</f>
        <v/>
      </c>
      <c r="L92" s="38" t="str">
        <f>IF('1_Cadastramento'!$F$93="","",'1_Cadastramento'!$F$93)</f>
        <v/>
      </c>
      <c r="M92" s="107"/>
      <c r="N92" s="107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104"/>
      <c r="B93" s="104"/>
      <c r="C93" s="104"/>
      <c r="D93" s="104"/>
      <c r="E93" s="109"/>
      <c r="F93" s="21"/>
      <c r="G93" s="21"/>
      <c r="H93" s="21"/>
      <c r="I93" s="21"/>
      <c r="J93" s="106" t="str">
        <f>IF('1_Cadastramento'!$A$94="","",'1_Cadastramento'!$A$94)</f>
        <v/>
      </c>
      <c r="K93" s="107" t="str">
        <f>IF('1_Cadastramento'!$C$94="","",'1_Cadastramento'!$C$94)</f>
        <v/>
      </c>
      <c r="L93" s="38" t="str">
        <f>IF('1_Cadastramento'!$F$94="","",'1_Cadastramento'!$F$94)</f>
        <v/>
      </c>
      <c r="M93" s="107"/>
      <c r="N93" s="107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104"/>
      <c r="B94" s="104"/>
      <c r="C94" s="104"/>
      <c r="D94" s="104"/>
      <c r="E94" s="109"/>
      <c r="F94" s="21"/>
      <c r="G94" s="21"/>
      <c r="H94" s="21"/>
      <c r="I94" s="21"/>
      <c r="J94" s="106" t="str">
        <f>IF('1_Cadastramento'!$A$95="","",'1_Cadastramento'!$A$95)</f>
        <v/>
      </c>
      <c r="K94" s="107" t="str">
        <f>IF('1_Cadastramento'!$C$95="","",'1_Cadastramento'!$C$95)</f>
        <v/>
      </c>
      <c r="L94" s="38" t="str">
        <f>IF('1_Cadastramento'!$F$95="","",'1_Cadastramento'!$F$95)</f>
        <v/>
      </c>
      <c r="M94" s="107"/>
      <c r="N94" s="107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104"/>
      <c r="B95" s="104"/>
      <c r="C95" s="104"/>
      <c r="D95" s="104"/>
      <c r="E95" s="109"/>
      <c r="F95" s="21"/>
      <c r="G95" s="21"/>
      <c r="H95" s="21"/>
      <c r="I95" s="21"/>
      <c r="J95" s="106" t="str">
        <f>IF('1_Cadastramento'!$A$96="","",'1_Cadastramento'!$A$96)</f>
        <v/>
      </c>
      <c r="K95" s="107" t="str">
        <f>IF('1_Cadastramento'!$C$96="","",'1_Cadastramento'!$C$96)</f>
        <v/>
      </c>
      <c r="L95" s="38" t="str">
        <f>IF('1_Cadastramento'!$F$96="","",'1_Cadastramento'!$F$96)</f>
        <v/>
      </c>
      <c r="M95" s="107"/>
      <c r="N95" s="107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104"/>
      <c r="B96" s="104"/>
      <c r="C96" s="104"/>
      <c r="D96" s="104"/>
      <c r="E96" s="109"/>
      <c r="F96" s="21"/>
      <c r="G96" s="21"/>
      <c r="H96" s="21"/>
      <c r="I96" s="21"/>
      <c r="J96" s="106" t="str">
        <f>IF('1_Cadastramento'!$A$97="","",'1_Cadastramento'!$A$97)</f>
        <v/>
      </c>
      <c r="K96" s="107" t="str">
        <f>IF('1_Cadastramento'!$C$97="","",'1_Cadastramento'!$C$97)</f>
        <v/>
      </c>
      <c r="L96" s="38" t="str">
        <f>IF('1_Cadastramento'!$F$97="","",'1_Cadastramento'!$F$97)</f>
        <v/>
      </c>
      <c r="M96" s="107"/>
      <c r="N96" s="107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104"/>
      <c r="B97" s="104"/>
      <c r="C97" s="104"/>
      <c r="D97" s="104"/>
      <c r="E97" s="109"/>
      <c r="F97" s="21"/>
      <c r="G97" s="21"/>
      <c r="H97" s="21"/>
      <c r="I97" s="21"/>
      <c r="J97" s="106" t="str">
        <f>IF('1_Cadastramento'!$A$98="","",'1_Cadastramento'!$A$98)</f>
        <v/>
      </c>
      <c r="K97" s="107" t="str">
        <f>IF('1_Cadastramento'!$C$98="","",'1_Cadastramento'!$C$98)</f>
        <v/>
      </c>
      <c r="L97" s="38" t="str">
        <f>IF('1_Cadastramento'!$F$98="","",'1_Cadastramento'!$F$98)</f>
        <v/>
      </c>
      <c r="M97" s="107"/>
      <c r="N97" s="107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104"/>
      <c r="B98" s="104"/>
      <c r="C98" s="104"/>
      <c r="D98" s="104"/>
      <c r="E98" s="109"/>
      <c r="F98" s="21"/>
      <c r="G98" s="21"/>
      <c r="H98" s="21"/>
      <c r="I98" s="21"/>
      <c r="J98" s="106" t="str">
        <f>IF('1_Cadastramento'!$A$99="","",'1_Cadastramento'!$A$99)</f>
        <v/>
      </c>
      <c r="K98" s="107" t="str">
        <f>IF('1_Cadastramento'!$C$99="","",'1_Cadastramento'!$C$99)</f>
        <v/>
      </c>
      <c r="L98" s="38" t="str">
        <f>IF('1_Cadastramento'!$F$99="","",'1_Cadastramento'!$F$99)</f>
        <v/>
      </c>
      <c r="M98" s="107"/>
      <c r="N98" s="107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104"/>
      <c r="B99" s="104"/>
      <c r="C99" s="104"/>
      <c r="D99" s="104"/>
      <c r="E99" s="109"/>
      <c r="F99" s="21"/>
      <c r="G99" s="21"/>
      <c r="H99" s="21"/>
      <c r="I99" s="21"/>
      <c r="J99" s="106" t="str">
        <f>IF('1_Cadastramento'!$A$100="","",'1_Cadastramento'!$A$100)</f>
        <v/>
      </c>
      <c r="K99" s="107" t="str">
        <f>IF('1_Cadastramento'!$C$101="","",'1_Cadastramento'!$C$101)</f>
        <v/>
      </c>
      <c r="L99" s="38" t="str">
        <f>IF('1_Cadastramento'!$F$100="","",'1_Cadastramento'!$F$100)</f>
        <v/>
      </c>
      <c r="M99" s="107"/>
      <c r="N99" s="107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104"/>
      <c r="B100" s="104"/>
      <c r="C100" s="104"/>
      <c r="D100" s="104"/>
      <c r="E100" s="109"/>
      <c r="F100" s="21"/>
      <c r="G100" s="21"/>
      <c r="H100" s="21"/>
      <c r="I100" s="21"/>
      <c r="J100" s="106" t="str">
        <f>IF('1_Cadastramento'!$A$101="","",'1_Cadastramento'!$A$101)</f>
        <v/>
      </c>
      <c r="K100" s="107" t="str">
        <f>IF('1_Cadastramento'!$C$102="","",'1_Cadastramento'!$C$102)</f>
        <v/>
      </c>
      <c r="L100" s="38" t="str">
        <f>IF('1_Cadastramento'!$F$101="","",'1_Cadastramento'!$F$101)</f>
        <v/>
      </c>
      <c r="M100" s="107"/>
      <c r="N100" s="107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104"/>
      <c r="B101" s="104"/>
      <c r="C101" s="104"/>
      <c r="D101" s="104"/>
      <c r="E101" s="109"/>
      <c r="F101" s="21"/>
      <c r="G101" s="21"/>
      <c r="H101" s="21"/>
      <c r="I101" s="21"/>
      <c r="J101" s="106" t="str">
        <f>IF('1_Cadastramento'!$A$102="","",'1_Cadastramento'!$A$102)</f>
        <v/>
      </c>
      <c r="K101" s="107" t="str">
        <f>IF('1_Cadastramento'!$C$103="","",'1_Cadastramento'!$C$103)</f>
        <v/>
      </c>
      <c r="L101" s="38" t="str">
        <f>IF('1_Cadastramento'!$F$102="","",'1_Cadastramento'!$F$102)</f>
        <v/>
      </c>
      <c r="M101" s="107"/>
      <c r="N101" s="107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104"/>
      <c r="B102" s="104"/>
      <c r="C102" s="104"/>
      <c r="D102" s="104"/>
      <c r="E102" s="109"/>
      <c r="F102" s="21"/>
      <c r="G102" s="21"/>
      <c r="H102" s="21"/>
      <c r="I102" s="21"/>
      <c r="J102" s="106" t="str">
        <f>IF('1_Cadastramento'!$A$103="","",'1_Cadastramento'!$A$103)</f>
        <v/>
      </c>
      <c r="K102" s="107"/>
      <c r="L102" s="38" t="str">
        <f>IF('1_Cadastramento'!$F$103="","",'1_Cadastramento'!$F$103)</f>
        <v/>
      </c>
      <c r="M102" s="107"/>
      <c r="N102" s="107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104"/>
      <c r="B103" s="104"/>
      <c r="C103" s="104"/>
      <c r="D103" s="104"/>
      <c r="E103" s="109"/>
      <c r="F103" s="21"/>
      <c r="G103" s="21"/>
      <c r="H103" s="21"/>
      <c r="I103" s="21"/>
      <c r="J103" s="21"/>
      <c r="K103" s="107"/>
      <c r="L103" s="38"/>
      <c r="M103" s="107"/>
      <c r="N103" s="107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104"/>
      <c r="B104" s="104"/>
      <c r="C104" s="104"/>
      <c r="D104" s="104"/>
      <c r="E104" s="109"/>
      <c r="F104" s="21"/>
      <c r="G104" s="21"/>
      <c r="H104" s="21"/>
      <c r="I104" s="21"/>
      <c r="J104" s="21"/>
      <c r="K104" s="107"/>
      <c r="L104" s="38"/>
      <c r="M104" s="107"/>
      <c r="N104" s="107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104"/>
      <c r="B105" s="104"/>
      <c r="C105" s="104"/>
      <c r="D105" s="104"/>
      <c r="E105" s="109"/>
      <c r="F105" s="21"/>
      <c r="G105" s="21"/>
      <c r="H105" s="21"/>
      <c r="I105" s="21"/>
      <c r="J105" s="21"/>
      <c r="K105" s="107"/>
      <c r="L105" s="38"/>
      <c r="M105" s="107"/>
      <c r="N105" s="107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104"/>
      <c r="B106" s="104"/>
      <c r="C106" s="104"/>
      <c r="D106" s="104"/>
      <c r="E106" s="109"/>
      <c r="F106" s="21"/>
      <c r="G106" s="21"/>
      <c r="H106" s="21"/>
      <c r="I106" s="21"/>
      <c r="J106" s="21"/>
      <c r="K106" s="107"/>
      <c r="L106" s="38"/>
      <c r="M106" s="107"/>
      <c r="N106" s="107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104"/>
      <c r="B107" s="104"/>
      <c r="C107" s="104"/>
      <c r="D107" s="104"/>
      <c r="E107" s="109"/>
      <c r="F107" s="21"/>
      <c r="G107" s="21"/>
      <c r="H107" s="21"/>
      <c r="I107" s="21"/>
      <c r="J107" s="21"/>
      <c r="K107" s="107"/>
      <c r="L107" s="38"/>
      <c r="M107" s="107"/>
      <c r="N107" s="107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104"/>
      <c r="B108" s="104"/>
      <c r="C108" s="104"/>
      <c r="D108" s="104"/>
      <c r="E108" s="109"/>
      <c r="F108" s="21"/>
      <c r="G108" s="21"/>
      <c r="H108" s="21"/>
      <c r="I108" s="21"/>
      <c r="J108" s="21"/>
      <c r="K108" s="107"/>
      <c r="L108" s="38"/>
      <c r="M108" s="107"/>
      <c r="N108" s="107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104"/>
      <c r="B109" s="104"/>
      <c r="C109" s="104"/>
      <c r="D109" s="104"/>
      <c r="E109" s="109"/>
      <c r="F109" s="21"/>
      <c r="G109" s="21"/>
      <c r="H109" s="21"/>
      <c r="I109" s="21"/>
      <c r="J109" s="21"/>
      <c r="K109" s="107"/>
      <c r="L109" s="38"/>
      <c r="M109" s="107"/>
      <c r="N109" s="107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104"/>
      <c r="B110" s="104"/>
      <c r="C110" s="104"/>
      <c r="D110" s="104"/>
      <c r="E110" s="109"/>
      <c r="F110" s="21"/>
      <c r="G110" s="21"/>
      <c r="H110" s="21"/>
      <c r="I110" s="21"/>
      <c r="J110" s="21"/>
      <c r="K110" s="107"/>
      <c r="L110" s="38"/>
      <c r="M110" s="107"/>
      <c r="N110" s="107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104"/>
      <c r="B111" s="104"/>
      <c r="C111" s="104"/>
      <c r="D111" s="104"/>
      <c r="E111" s="109"/>
      <c r="F111" s="21"/>
      <c r="G111" s="21"/>
      <c r="H111" s="21"/>
      <c r="I111" s="21"/>
      <c r="J111" s="21"/>
      <c r="K111" s="107"/>
      <c r="L111" s="38"/>
      <c r="M111" s="107"/>
      <c r="N111" s="107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104"/>
      <c r="B112" s="104"/>
      <c r="C112" s="104"/>
      <c r="D112" s="104"/>
      <c r="E112" s="109"/>
      <c r="F112" s="21"/>
      <c r="G112" s="21"/>
      <c r="H112" s="21"/>
      <c r="I112" s="21"/>
      <c r="J112" s="21"/>
      <c r="K112" s="107"/>
      <c r="L112" s="38"/>
      <c r="M112" s="107"/>
      <c r="N112" s="107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104"/>
      <c r="B113" s="104"/>
      <c r="C113" s="104"/>
      <c r="D113" s="104"/>
      <c r="E113" s="109"/>
      <c r="F113" s="21"/>
      <c r="G113" s="21"/>
      <c r="H113" s="21"/>
      <c r="I113" s="21"/>
      <c r="J113" s="21"/>
      <c r="K113" s="107"/>
      <c r="L113" s="38"/>
      <c r="M113" s="107"/>
      <c r="N113" s="107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104"/>
      <c r="B114" s="104"/>
      <c r="C114" s="104"/>
      <c r="D114" s="104"/>
      <c r="E114" s="109"/>
      <c r="F114" s="21"/>
      <c r="G114" s="21"/>
      <c r="H114" s="21"/>
      <c r="I114" s="21"/>
      <c r="J114" s="21"/>
      <c r="K114" s="107"/>
      <c r="L114" s="38"/>
      <c r="M114" s="107"/>
      <c r="N114" s="107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104"/>
      <c r="B115" s="104"/>
      <c r="C115" s="104"/>
      <c r="D115" s="104"/>
      <c r="E115" s="109"/>
      <c r="F115" s="21"/>
      <c r="G115" s="21"/>
      <c r="H115" s="21"/>
      <c r="I115" s="21"/>
      <c r="J115" s="21"/>
      <c r="K115" s="107"/>
      <c r="L115" s="38"/>
      <c r="M115" s="107"/>
      <c r="N115" s="107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104"/>
      <c r="B116" s="104"/>
      <c r="C116" s="104"/>
      <c r="D116" s="104"/>
      <c r="E116" s="109"/>
      <c r="F116" s="21"/>
      <c r="G116" s="21"/>
      <c r="H116" s="21"/>
      <c r="I116" s="21"/>
      <c r="J116" s="21"/>
      <c r="K116" s="107"/>
      <c r="L116" s="38"/>
      <c r="M116" s="107"/>
      <c r="N116" s="107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104"/>
      <c r="B117" s="104"/>
      <c r="C117" s="104"/>
      <c r="D117" s="104"/>
      <c r="E117" s="109"/>
      <c r="F117" s="21"/>
      <c r="G117" s="21"/>
      <c r="H117" s="21"/>
      <c r="I117" s="21"/>
      <c r="J117" s="21"/>
      <c r="K117" s="107"/>
      <c r="L117" s="38"/>
      <c r="M117" s="107"/>
      <c r="N117" s="107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104"/>
      <c r="B118" s="104"/>
      <c r="C118" s="104"/>
      <c r="D118" s="104"/>
      <c r="E118" s="109"/>
      <c r="F118" s="21"/>
      <c r="G118" s="21"/>
      <c r="H118" s="21"/>
      <c r="I118" s="21"/>
      <c r="J118" s="21"/>
      <c r="K118" s="107"/>
      <c r="L118" s="38"/>
      <c r="M118" s="107"/>
      <c r="N118" s="107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104"/>
      <c r="B119" s="104"/>
      <c r="C119" s="104"/>
      <c r="D119" s="104"/>
      <c r="E119" s="109"/>
      <c r="F119" s="21"/>
      <c r="G119" s="21"/>
      <c r="H119" s="21"/>
      <c r="I119" s="21"/>
      <c r="J119" s="21"/>
      <c r="K119" s="107"/>
      <c r="L119" s="38"/>
      <c r="M119" s="107"/>
      <c r="N119" s="107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104"/>
      <c r="B120" s="104"/>
      <c r="C120" s="104"/>
      <c r="D120" s="104"/>
      <c r="E120" s="109"/>
      <c r="F120" s="21"/>
      <c r="G120" s="21"/>
      <c r="H120" s="21"/>
      <c r="I120" s="21"/>
      <c r="J120" s="21"/>
      <c r="K120" s="107"/>
      <c r="L120" s="38"/>
      <c r="M120" s="107"/>
      <c r="N120" s="107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104"/>
      <c r="B121" s="104"/>
      <c r="C121" s="104"/>
      <c r="D121" s="104"/>
      <c r="E121" s="109"/>
      <c r="F121" s="21"/>
      <c r="G121" s="21"/>
      <c r="H121" s="21"/>
      <c r="I121" s="21"/>
      <c r="J121" s="21"/>
      <c r="K121" s="107"/>
      <c r="L121" s="38"/>
      <c r="M121" s="107"/>
      <c r="N121" s="107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104"/>
      <c r="B122" s="104"/>
      <c r="C122" s="104"/>
      <c r="D122" s="104"/>
      <c r="E122" s="109"/>
      <c r="F122" s="21"/>
      <c r="G122" s="21"/>
      <c r="H122" s="21"/>
      <c r="I122" s="21"/>
      <c r="J122" s="21"/>
      <c r="K122" s="107"/>
      <c r="L122" s="38"/>
      <c r="M122" s="107"/>
      <c r="N122" s="107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104"/>
      <c r="B123" s="104"/>
      <c r="C123" s="104"/>
      <c r="D123" s="104"/>
      <c r="E123" s="109"/>
      <c r="F123" s="21"/>
      <c r="G123" s="21"/>
      <c r="H123" s="21"/>
      <c r="I123" s="21"/>
      <c r="J123" s="21"/>
      <c r="K123" s="107"/>
      <c r="L123" s="38"/>
      <c r="M123" s="107"/>
      <c r="N123" s="107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104"/>
      <c r="B124" s="104"/>
      <c r="C124" s="104"/>
      <c r="D124" s="104"/>
      <c r="E124" s="109"/>
      <c r="F124" s="21"/>
      <c r="G124" s="21"/>
      <c r="H124" s="21"/>
      <c r="I124" s="21"/>
      <c r="J124" s="21"/>
      <c r="K124" s="107"/>
      <c r="L124" s="38"/>
      <c r="M124" s="107"/>
      <c r="N124" s="107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104"/>
      <c r="B125" s="104"/>
      <c r="C125" s="104"/>
      <c r="D125" s="104"/>
      <c r="E125" s="109"/>
      <c r="F125" s="21"/>
      <c r="G125" s="21"/>
      <c r="H125" s="21"/>
      <c r="I125" s="21"/>
      <c r="J125" s="21"/>
      <c r="K125" s="107"/>
      <c r="L125" s="38"/>
      <c r="M125" s="107"/>
      <c r="N125" s="107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104"/>
      <c r="B126" s="104"/>
      <c r="C126" s="104"/>
      <c r="D126" s="104"/>
      <c r="E126" s="109"/>
      <c r="F126" s="21"/>
      <c r="G126" s="21"/>
      <c r="H126" s="21"/>
      <c r="I126" s="21"/>
      <c r="J126" s="21"/>
      <c r="K126" s="107"/>
      <c r="L126" s="38"/>
      <c r="M126" s="107"/>
      <c r="N126" s="107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104"/>
      <c r="B127" s="104"/>
      <c r="C127" s="104"/>
      <c r="D127" s="104"/>
      <c r="E127" s="109"/>
      <c r="F127" s="21"/>
      <c r="G127" s="21"/>
      <c r="H127" s="21"/>
      <c r="I127" s="21"/>
      <c r="J127" s="21"/>
      <c r="K127" s="107"/>
      <c r="L127" s="38"/>
      <c r="M127" s="107"/>
      <c r="N127" s="107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104"/>
      <c r="B128" s="104"/>
      <c r="C128" s="104"/>
      <c r="D128" s="104"/>
      <c r="E128" s="109"/>
      <c r="F128" s="21"/>
      <c r="G128" s="21"/>
      <c r="H128" s="21"/>
      <c r="I128" s="21"/>
      <c r="J128" s="21"/>
      <c r="K128" s="107"/>
      <c r="L128" s="38"/>
      <c r="M128" s="107"/>
      <c r="N128" s="107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104"/>
      <c r="B129" s="104"/>
      <c r="C129" s="104"/>
      <c r="D129" s="104"/>
      <c r="E129" s="109"/>
      <c r="F129" s="21"/>
      <c r="G129" s="21"/>
      <c r="H129" s="21"/>
      <c r="I129" s="21"/>
      <c r="J129" s="21"/>
      <c r="K129" s="107"/>
      <c r="L129" s="38"/>
      <c r="M129" s="107"/>
      <c r="N129" s="107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104"/>
      <c r="B130" s="104"/>
      <c r="C130" s="104"/>
      <c r="D130" s="104"/>
      <c r="E130" s="109"/>
      <c r="F130" s="21"/>
      <c r="G130" s="21"/>
      <c r="H130" s="21"/>
      <c r="I130" s="21"/>
      <c r="J130" s="21"/>
      <c r="K130" s="107"/>
      <c r="L130" s="38"/>
      <c r="M130" s="107"/>
      <c r="N130" s="107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104"/>
      <c r="B131" s="104"/>
      <c r="C131" s="104"/>
      <c r="D131" s="104"/>
      <c r="E131" s="109"/>
      <c r="F131" s="21"/>
      <c r="G131" s="21"/>
      <c r="H131" s="21"/>
      <c r="I131" s="21"/>
      <c r="J131" s="21"/>
      <c r="K131" s="107"/>
      <c r="L131" s="38"/>
      <c r="M131" s="107"/>
      <c r="N131" s="107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104"/>
      <c r="B132" s="104"/>
      <c r="C132" s="104"/>
      <c r="D132" s="104"/>
      <c r="E132" s="109"/>
      <c r="F132" s="21"/>
      <c r="G132" s="21"/>
      <c r="H132" s="21"/>
      <c r="I132" s="21"/>
      <c r="J132" s="21"/>
      <c r="K132" s="107"/>
      <c r="L132" s="38"/>
      <c r="M132" s="107"/>
      <c r="N132" s="107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104"/>
      <c r="B133" s="104"/>
      <c r="C133" s="104"/>
      <c r="D133" s="104"/>
      <c r="E133" s="109"/>
      <c r="F133" s="21"/>
      <c r="G133" s="21"/>
      <c r="H133" s="21"/>
      <c r="I133" s="21"/>
      <c r="J133" s="21"/>
      <c r="K133" s="107"/>
      <c r="L133" s="38"/>
      <c r="M133" s="107"/>
      <c r="N133" s="107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104"/>
      <c r="B134" s="104"/>
      <c r="C134" s="104"/>
      <c r="D134" s="104"/>
      <c r="E134" s="109"/>
      <c r="F134" s="21"/>
      <c r="G134" s="21"/>
      <c r="H134" s="21"/>
      <c r="I134" s="21"/>
      <c r="J134" s="21"/>
      <c r="K134" s="107"/>
      <c r="L134" s="38"/>
      <c r="M134" s="107"/>
      <c r="N134" s="107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104"/>
      <c r="B135" s="104"/>
      <c r="C135" s="104"/>
      <c r="D135" s="104"/>
      <c r="E135" s="109"/>
      <c r="F135" s="21"/>
      <c r="G135" s="21"/>
      <c r="H135" s="21"/>
      <c r="I135" s="21"/>
      <c r="J135" s="21"/>
      <c r="K135" s="107"/>
      <c r="L135" s="38"/>
      <c r="M135" s="107"/>
      <c r="N135" s="107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104"/>
      <c r="B136" s="104"/>
      <c r="C136" s="104"/>
      <c r="D136" s="104"/>
      <c r="E136" s="109"/>
      <c r="F136" s="21"/>
      <c r="G136" s="21"/>
      <c r="H136" s="21"/>
      <c r="I136" s="21"/>
      <c r="J136" s="21"/>
      <c r="K136" s="107"/>
      <c r="L136" s="38"/>
      <c r="M136" s="107"/>
      <c r="N136" s="107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104"/>
      <c r="B137" s="104"/>
      <c r="C137" s="104"/>
      <c r="D137" s="104"/>
      <c r="E137" s="109"/>
      <c r="F137" s="21"/>
      <c r="G137" s="21"/>
      <c r="H137" s="21"/>
      <c r="I137" s="21"/>
      <c r="J137" s="21"/>
      <c r="K137" s="107"/>
      <c r="L137" s="38"/>
      <c r="M137" s="107"/>
      <c r="N137" s="107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104"/>
      <c r="B138" s="104"/>
      <c r="C138" s="104"/>
      <c r="D138" s="104"/>
      <c r="E138" s="109"/>
      <c r="F138" s="21"/>
      <c r="G138" s="21"/>
      <c r="H138" s="21"/>
      <c r="I138" s="21"/>
      <c r="J138" s="21"/>
      <c r="K138" s="107"/>
      <c r="L138" s="38"/>
      <c r="M138" s="107"/>
      <c r="N138" s="107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104"/>
      <c r="B139" s="104"/>
      <c r="C139" s="104"/>
      <c r="D139" s="104"/>
      <c r="E139" s="109"/>
      <c r="F139" s="21"/>
      <c r="G139" s="21"/>
      <c r="H139" s="21"/>
      <c r="I139" s="21"/>
      <c r="J139" s="21"/>
      <c r="K139" s="107"/>
      <c r="L139" s="38"/>
      <c r="M139" s="107"/>
      <c r="N139" s="107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104"/>
      <c r="B140" s="104"/>
      <c r="C140" s="104"/>
      <c r="D140" s="104"/>
      <c r="E140" s="109"/>
      <c r="F140" s="21"/>
      <c r="G140" s="21"/>
      <c r="H140" s="21"/>
      <c r="I140" s="21"/>
      <c r="J140" s="21"/>
      <c r="K140" s="107"/>
      <c r="L140" s="38"/>
      <c r="M140" s="107"/>
      <c r="N140" s="107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104"/>
      <c r="B141" s="104"/>
      <c r="C141" s="104"/>
      <c r="D141" s="104"/>
      <c r="E141" s="109"/>
      <c r="F141" s="21"/>
      <c r="G141" s="21"/>
      <c r="H141" s="21"/>
      <c r="I141" s="21"/>
      <c r="J141" s="21"/>
      <c r="K141" s="107"/>
      <c r="L141" s="38"/>
      <c r="M141" s="107"/>
      <c r="N141" s="107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104"/>
      <c r="B142" s="104"/>
      <c r="C142" s="104"/>
      <c r="D142" s="104"/>
      <c r="E142" s="109"/>
      <c r="F142" s="21"/>
      <c r="G142" s="21"/>
      <c r="H142" s="21"/>
      <c r="I142" s="21"/>
      <c r="J142" s="21"/>
      <c r="K142" s="107"/>
      <c r="L142" s="38"/>
      <c r="M142" s="107"/>
      <c r="N142" s="107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104"/>
      <c r="B143" s="104"/>
      <c r="C143" s="104"/>
      <c r="D143" s="104"/>
      <c r="E143" s="109"/>
      <c r="F143" s="21"/>
      <c r="G143" s="21"/>
      <c r="H143" s="21"/>
      <c r="I143" s="21"/>
      <c r="J143" s="21"/>
      <c r="K143" s="107"/>
      <c r="L143" s="38"/>
      <c r="M143" s="107"/>
      <c r="N143" s="107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104"/>
      <c r="B144" s="104"/>
      <c r="C144" s="104"/>
      <c r="D144" s="104"/>
      <c r="E144" s="109"/>
      <c r="F144" s="21"/>
      <c r="G144" s="21"/>
      <c r="H144" s="21"/>
      <c r="I144" s="21"/>
      <c r="J144" s="21"/>
      <c r="K144" s="107"/>
      <c r="L144" s="38"/>
      <c r="M144" s="107"/>
      <c r="N144" s="107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104"/>
      <c r="B145" s="104"/>
      <c r="C145" s="104"/>
      <c r="D145" s="104"/>
      <c r="E145" s="109"/>
      <c r="F145" s="21"/>
      <c r="G145" s="21"/>
      <c r="H145" s="21"/>
      <c r="I145" s="21"/>
      <c r="J145" s="21"/>
      <c r="K145" s="107"/>
      <c r="L145" s="38"/>
      <c r="M145" s="107"/>
      <c r="N145" s="107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104"/>
      <c r="B146" s="104"/>
      <c r="C146" s="104"/>
      <c r="D146" s="104"/>
      <c r="E146" s="109"/>
      <c r="F146" s="21"/>
      <c r="G146" s="21"/>
      <c r="H146" s="21"/>
      <c r="I146" s="21"/>
      <c r="J146" s="21"/>
      <c r="K146" s="107"/>
      <c r="L146" s="38"/>
      <c r="M146" s="107"/>
      <c r="N146" s="107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104"/>
      <c r="B147" s="104"/>
      <c r="C147" s="104"/>
      <c r="D147" s="104"/>
      <c r="E147" s="109"/>
      <c r="F147" s="21"/>
      <c r="G147" s="21"/>
      <c r="H147" s="21"/>
      <c r="I147" s="21"/>
      <c r="J147" s="21"/>
      <c r="K147" s="107"/>
      <c r="L147" s="38"/>
      <c r="M147" s="107"/>
      <c r="N147" s="107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104"/>
      <c r="B148" s="104"/>
      <c r="C148" s="104"/>
      <c r="D148" s="104"/>
      <c r="E148" s="109"/>
      <c r="F148" s="21"/>
      <c r="G148" s="21"/>
      <c r="H148" s="21"/>
      <c r="I148" s="21"/>
      <c r="J148" s="21"/>
      <c r="K148" s="107"/>
      <c r="L148" s="38"/>
      <c r="M148" s="107"/>
      <c r="N148" s="107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104"/>
      <c r="B149" s="104"/>
      <c r="C149" s="104"/>
      <c r="D149" s="104"/>
      <c r="E149" s="109"/>
      <c r="F149" s="21"/>
      <c r="G149" s="21"/>
      <c r="H149" s="21"/>
      <c r="I149" s="21"/>
      <c r="J149" s="21"/>
      <c r="K149" s="107"/>
      <c r="L149" s="38"/>
      <c r="M149" s="107"/>
      <c r="N149" s="107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104"/>
      <c r="B150" s="104"/>
      <c r="C150" s="104"/>
      <c r="D150" s="104"/>
      <c r="E150" s="109"/>
      <c r="F150" s="21"/>
      <c r="G150" s="21"/>
      <c r="H150" s="21"/>
      <c r="I150" s="21"/>
      <c r="J150" s="21"/>
      <c r="K150" s="107"/>
      <c r="L150" s="38"/>
      <c r="M150" s="107"/>
      <c r="N150" s="107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104"/>
      <c r="B151" s="104"/>
      <c r="C151" s="104"/>
      <c r="D151" s="104"/>
      <c r="E151" s="109"/>
      <c r="F151" s="21"/>
      <c r="G151" s="21"/>
      <c r="H151" s="21"/>
      <c r="I151" s="21"/>
      <c r="J151" s="21"/>
      <c r="K151" s="107"/>
      <c r="L151" s="38"/>
      <c r="M151" s="107"/>
      <c r="N151" s="107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104"/>
      <c r="B152" s="104"/>
      <c r="C152" s="104"/>
      <c r="D152" s="104"/>
      <c r="E152" s="109"/>
      <c r="F152" s="21"/>
      <c r="G152" s="21"/>
      <c r="H152" s="21"/>
      <c r="I152" s="21"/>
      <c r="J152" s="21"/>
      <c r="K152" s="107"/>
      <c r="L152" s="38"/>
      <c r="M152" s="107"/>
      <c r="N152" s="107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104"/>
      <c r="B153" s="104"/>
      <c r="C153" s="104"/>
      <c r="D153" s="104"/>
      <c r="E153" s="109"/>
      <c r="F153" s="21"/>
      <c r="G153" s="21"/>
      <c r="H153" s="21"/>
      <c r="I153" s="21"/>
      <c r="J153" s="21"/>
      <c r="K153" s="107"/>
      <c r="L153" s="38"/>
      <c r="M153" s="107"/>
      <c r="N153" s="107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104"/>
      <c r="B154" s="104"/>
      <c r="C154" s="104"/>
      <c r="D154" s="104"/>
      <c r="E154" s="109"/>
      <c r="F154" s="21"/>
      <c r="G154" s="21"/>
      <c r="H154" s="21"/>
      <c r="I154" s="21"/>
      <c r="J154" s="21"/>
      <c r="K154" s="107"/>
      <c r="L154" s="38"/>
      <c r="M154" s="107"/>
      <c r="N154" s="107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104"/>
      <c r="B155" s="104"/>
      <c r="C155" s="104"/>
      <c r="D155" s="104"/>
      <c r="E155" s="109"/>
      <c r="F155" s="21"/>
      <c r="G155" s="21"/>
      <c r="H155" s="21"/>
      <c r="I155" s="21"/>
      <c r="J155" s="21"/>
      <c r="K155" s="107"/>
      <c r="L155" s="38"/>
      <c r="M155" s="107"/>
      <c r="N155" s="107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104"/>
      <c r="B156" s="104"/>
      <c r="C156" s="104"/>
      <c r="D156" s="104"/>
      <c r="E156" s="109"/>
      <c r="F156" s="21"/>
      <c r="G156" s="21"/>
      <c r="H156" s="21"/>
      <c r="I156" s="21"/>
      <c r="J156" s="21"/>
      <c r="K156" s="107"/>
      <c r="L156" s="38"/>
      <c r="M156" s="107"/>
      <c r="N156" s="107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104"/>
      <c r="B157" s="104"/>
      <c r="C157" s="104"/>
      <c r="D157" s="104"/>
      <c r="E157" s="109"/>
      <c r="F157" s="21"/>
      <c r="G157" s="21"/>
      <c r="H157" s="21"/>
      <c r="I157" s="21"/>
      <c r="J157" s="21"/>
      <c r="K157" s="107"/>
      <c r="L157" s="38"/>
      <c r="M157" s="107"/>
      <c r="N157" s="107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104"/>
      <c r="B158" s="104"/>
      <c r="C158" s="104"/>
      <c r="D158" s="104"/>
      <c r="E158" s="109"/>
      <c r="F158" s="21"/>
      <c r="G158" s="21"/>
      <c r="H158" s="21"/>
      <c r="I158" s="21"/>
      <c r="J158" s="21"/>
      <c r="K158" s="107"/>
      <c r="L158" s="38"/>
      <c r="M158" s="107"/>
      <c r="N158" s="107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104"/>
      <c r="B159" s="104"/>
      <c r="C159" s="104"/>
      <c r="D159" s="104"/>
      <c r="E159" s="109"/>
      <c r="F159" s="21"/>
      <c r="G159" s="21"/>
      <c r="H159" s="21"/>
      <c r="I159" s="21"/>
      <c r="J159" s="21"/>
      <c r="K159" s="107"/>
      <c r="L159" s="38"/>
      <c r="M159" s="107"/>
      <c r="N159" s="107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104"/>
      <c r="B160" s="104"/>
      <c r="C160" s="104"/>
      <c r="D160" s="104"/>
      <c r="E160" s="109"/>
      <c r="F160" s="21"/>
      <c r="G160" s="21"/>
      <c r="H160" s="21"/>
      <c r="I160" s="21"/>
      <c r="J160" s="21"/>
      <c r="K160" s="107"/>
      <c r="L160" s="38"/>
      <c r="M160" s="107"/>
      <c r="N160" s="107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104"/>
      <c r="B161" s="104"/>
      <c r="C161" s="104"/>
      <c r="D161" s="104"/>
      <c r="E161" s="109"/>
      <c r="F161" s="21"/>
      <c r="G161" s="21"/>
      <c r="H161" s="21"/>
      <c r="I161" s="21"/>
      <c r="J161" s="21"/>
      <c r="K161" s="107"/>
      <c r="L161" s="38"/>
      <c r="M161" s="107"/>
      <c r="N161" s="107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104"/>
      <c r="B162" s="104"/>
      <c r="C162" s="104"/>
      <c r="D162" s="104"/>
      <c r="E162" s="109"/>
      <c r="F162" s="21"/>
      <c r="G162" s="21"/>
      <c r="H162" s="21"/>
      <c r="I162" s="21"/>
      <c r="J162" s="21"/>
      <c r="K162" s="107"/>
      <c r="L162" s="38"/>
      <c r="M162" s="107"/>
      <c r="N162" s="107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104"/>
      <c r="B163" s="104"/>
      <c r="C163" s="104"/>
      <c r="D163" s="104"/>
      <c r="E163" s="109"/>
      <c r="F163" s="21"/>
      <c r="G163" s="21"/>
      <c r="H163" s="21"/>
      <c r="I163" s="21"/>
      <c r="J163" s="21"/>
      <c r="K163" s="107"/>
      <c r="L163" s="38"/>
      <c r="M163" s="107"/>
      <c r="N163" s="107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104"/>
      <c r="B164" s="104"/>
      <c r="C164" s="104"/>
      <c r="D164" s="104"/>
      <c r="E164" s="109"/>
      <c r="F164" s="21"/>
      <c r="G164" s="21"/>
      <c r="H164" s="21"/>
      <c r="I164" s="21"/>
      <c r="J164" s="21"/>
      <c r="K164" s="107"/>
      <c r="L164" s="38"/>
      <c r="M164" s="107"/>
      <c r="N164" s="107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104"/>
      <c r="B165" s="104"/>
      <c r="C165" s="104"/>
      <c r="D165" s="104"/>
      <c r="E165" s="109"/>
      <c r="F165" s="21"/>
      <c r="G165" s="21"/>
      <c r="H165" s="21"/>
      <c r="I165" s="21"/>
      <c r="J165" s="21"/>
      <c r="K165" s="107"/>
      <c r="L165" s="38"/>
      <c r="M165" s="107"/>
      <c r="N165" s="107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104"/>
      <c r="B166" s="104"/>
      <c r="C166" s="104"/>
      <c r="D166" s="104"/>
      <c r="E166" s="109"/>
      <c r="F166" s="21"/>
      <c r="G166" s="21"/>
      <c r="H166" s="21"/>
      <c r="I166" s="21"/>
      <c r="J166" s="21"/>
      <c r="K166" s="107"/>
      <c r="L166" s="38"/>
      <c r="M166" s="107"/>
      <c r="N166" s="107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104"/>
      <c r="B167" s="104"/>
      <c r="C167" s="104"/>
      <c r="D167" s="104"/>
      <c r="E167" s="109"/>
      <c r="F167" s="21"/>
      <c r="G167" s="21"/>
      <c r="H167" s="21"/>
      <c r="I167" s="21"/>
      <c r="J167" s="21"/>
      <c r="K167" s="107"/>
      <c r="L167" s="38"/>
      <c r="M167" s="107"/>
      <c r="N167" s="107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104"/>
      <c r="B168" s="104"/>
      <c r="C168" s="104"/>
      <c r="D168" s="104"/>
      <c r="E168" s="109"/>
      <c r="F168" s="21"/>
      <c r="G168" s="21"/>
      <c r="H168" s="21"/>
      <c r="I168" s="21"/>
      <c r="J168" s="21"/>
      <c r="K168" s="107"/>
      <c r="L168" s="38"/>
      <c r="M168" s="107"/>
      <c r="N168" s="107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104"/>
      <c r="B169" s="104"/>
      <c r="C169" s="104"/>
      <c r="D169" s="104"/>
      <c r="E169" s="109"/>
      <c r="F169" s="21"/>
      <c r="G169" s="21"/>
      <c r="H169" s="21"/>
      <c r="I169" s="21"/>
      <c r="J169" s="21"/>
      <c r="K169" s="107"/>
      <c r="L169" s="38"/>
      <c r="M169" s="107"/>
      <c r="N169" s="107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104"/>
      <c r="B170" s="104"/>
      <c r="C170" s="104"/>
      <c r="D170" s="104"/>
      <c r="E170" s="109"/>
      <c r="F170" s="21"/>
      <c r="G170" s="21"/>
      <c r="H170" s="21"/>
      <c r="I170" s="21"/>
      <c r="J170" s="21"/>
      <c r="K170" s="107"/>
      <c r="L170" s="38"/>
      <c r="M170" s="107"/>
      <c r="N170" s="107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104"/>
      <c r="B171" s="104"/>
      <c r="C171" s="104"/>
      <c r="D171" s="104"/>
      <c r="E171" s="109"/>
      <c r="F171" s="21"/>
      <c r="G171" s="21"/>
      <c r="H171" s="21"/>
      <c r="I171" s="21"/>
      <c r="J171" s="21"/>
      <c r="K171" s="107"/>
      <c r="L171" s="38"/>
      <c r="M171" s="107"/>
      <c r="N171" s="107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104"/>
      <c r="B172" s="104"/>
      <c r="C172" s="104"/>
      <c r="D172" s="104"/>
      <c r="E172" s="109"/>
      <c r="F172" s="21"/>
      <c r="G172" s="21"/>
      <c r="H172" s="21"/>
      <c r="I172" s="21"/>
      <c r="J172" s="21"/>
      <c r="K172" s="107"/>
      <c r="L172" s="38"/>
      <c r="M172" s="107"/>
      <c r="N172" s="107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104"/>
      <c r="B173" s="104"/>
      <c r="C173" s="104"/>
      <c r="D173" s="104"/>
      <c r="E173" s="109"/>
      <c r="F173" s="21"/>
      <c r="G173" s="21"/>
      <c r="H173" s="21"/>
      <c r="I173" s="21"/>
      <c r="J173" s="21"/>
      <c r="K173" s="107"/>
      <c r="L173" s="38"/>
      <c r="M173" s="107"/>
      <c r="N173" s="107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104"/>
      <c r="B174" s="104"/>
      <c r="C174" s="104"/>
      <c r="D174" s="104"/>
      <c r="E174" s="109"/>
      <c r="F174" s="21"/>
      <c r="G174" s="21"/>
      <c r="H174" s="21"/>
      <c r="I174" s="21"/>
      <c r="J174" s="21"/>
      <c r="K174" s="107"/>
      <c r="L174" s="38"/>
      <c r="M174" s="107"/>
      <c r="N174" s="107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104"/>
      <c r="B175" s="104"/>
      <c r="C175" s="104"/>
      <c r="D175" s="104"/>
      <c r="E175" s="109"/>
      <c r="F175" s="21"/>
      <c r="G175" s="21"/>
      <c r="H175" s="21"/>
      <c r="I175" s="21"/>
      <c r="J175" s="21"/>
      <c r="K175" s="107"/>
      <c r="L175" s="38"/>
      <c r="M175" s="107"/>
      <c r="N175" s="107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104"/>
      <c r="B176" s="104"/>
      <c r="C176" s="104"/>
      <c r="D176" s="104"/>
      <c r="E176" s="109"/>
      <c r="F176" s="21"/>
      <c r="G176" s="21"/>
      <c r="H176" s="21"/>
      <c r="I176" s="21"/>
      <c r="J176" s="21"/>
      <c r="K176" s="107"/>
      <c r="L176" s="38"/>
      <c r="M176" s="107"/>
      <c r="N176" s="107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104"/>
      <c r="B177" s="104"/>
      <c r="C177" s="104"/>
      <c r="D177" s="104"/>
      <c r="E177" s="109"/>
      <c r="F177" s="21"/>
      <c r="G177" s="21"/>
      <c r="H177" s="21"/>
      <c r="I177" s="21"/>
      <c r="J177" s="21"/>
      <c r="K177" s="107"/>
      <c r="L177" s="38"/>
      <c r="M177" s="107"/>
      <c r="N177" s="107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104"/>
      <c r="B178" s="104"/>
      <c r="C178" s="104"/>
      <c r="D178" s="104"/>
      <c r="E178" s="109"/>
      <c r="F178" s="21"/>
      <c r="G178" s="21"/>
      <c r="H178" s="21"/>
      <c r="I178" s="21"/>
      <c r="J178" s="21"/>
      <c r="K178" s="107"/>
      <c r="L178" s="38"/>
      <c r="M178" s="107"/>
      <c r="N178" s="107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104"/>
      <c r="B179" s="104"/>
      <c r="C179" s="104"/>
      <c r="D179" s="104"/>
      <c r="E179" s="109"/>
      <c r="F179" s="21"/>
      <c r="G179" s="21"/>
      <c r="H179" s="21"/>
      <c r="I179" s="21"/>
      <c r="J179" s="21"/>
      <c r="K179" s="107"/>
      <c r="L179" s="38"/>
      <c r="M179" s="107"/>
      <c r="N179" s="107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104"/>
      <c r="B180" s="104"/>
      <c r="C180" s="104"/>
      <c r="D180" s="104"/>
      <c r="E180" s="109"/>
      <c r="F180" s="21"/>
      <c r="G180" s="21"/>
      <c r="H180" s="21"/>
      <c r="I180" s="21"/>
      <c r="J180" s="21"/>
      <c r="K180" s="107"/>
      <c r="L180" s="38"/>
      <c r="M180" s="107"/>
      <c r="N180" s="107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104"/>
      <c r="B181" s="104"/>
      <c r="C181" s="104"/>
      <c r="D181" s="104"/>
      <c r="E181" s="109"/>
      <c r="F181" s="21"/>
      <c r="G181" s="21"/>
      <c r="H181" s="21"/>
      <c r="I181" s="21"/>
      <c r="J181" s="21"/>
      <c r="K181" s="107"/>
      <c r="L181" s="38"/>
      <c r="M181" s="107"/>
      <c r="N181" s="107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104"/>
      <c r="B182" s="104"/>
      <c r="C182" s="104"/>
      <c r="D182" s="104"/>
      <c r="E182" s="109"/>
      <c r="F182" s="21"/>
      <c r="G182" s="21"/>
      <c r="H182" s="21"/>
      <c r="I182" s="21"/>
      <c r="J182" s="21"/>
      <c r="K182" s="107"/>
      <c r="L182" s="38"/>
      <c r="M182" s="107"/>
      <c r="N182" s="107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104"/>
      <c r="B183" s="104"/>
      <c r="C183" s="104"/>
      <c r="D183" s="104"/>
      <c r="E183" s="109"/>
      <c r="F183" s="21"/>
      <c r="G183" s="21"/>
      <c r="H183" s="21"/>
      <c r="I183" s="21"/>
      <c r="J183" s="21"/>
      <c r="K183" s="107"/>
      <c r="L183" s="38"/>
      <c r="M183" s="107"/>
      <c r="N183" s="107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104"/>
      <c r="B184" s="104"/>
      <c r="C184" s="104"/>
      <c r="D184" s="104"/>
      <c r="E184" s="109"/>
      <c r="F184" s="21"/>
      <c r="G184" s="21"/>
      <c r="H184" s="21"/>
      <c r="I184" s="21"/>
      <c r="J184" s="21"/>
      <c r="K184" s="107"/>
      <c r="L184" s="38"/>
      <c r="M184" s="107"/>
      <c r="N184" s="107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104"/>
      <c r="B185" s="104"/>
      <c r="C185" s="104"/>
      <c r="D185" s="104"/>
      <c r="E185" s="109"/>
      <c r="F185" s="21"/>
      <c r="G185" s="21"/>
      <c r="H185" s="21"/>
      <c r="I185" s="21"/>
      <c r="J185" s="21"/>
      <c r="K185" s="107"/>
      <c r="L185" s="38"/>
      <c r="M185" s="107"/>
      <c r="N185" s="107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104"/>
      <c r="B186" s="104"/>
      <c r="C186" s="104"/>
      <c r="D186" s="104"/>
      <c r="E186" s="109"/>
      <c r="F186" s="21"/>
      <c r="G186" s="21"/>
      <c r="H186" s="21"/>
      <c r="I186" s="21"/>
      <c r="J186" s="21"/>
      <c r="K186" s="107"/>
      <c r="L186" s="38"/>
      <c r="M186" s="107"/>
      <c r="N186" s="107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104"/>
      <c r="B187" s="104"/>
      <c r="C187" s="104"/>
      <c r="D187" s="104"/>
      <c r="E187" s="109"/>
      <c r="F187" s="21"/>
      <c r="G187" s="21"/>
      <c r="H187" s="21"/>
      <c r="I187" s="21"/>
      <c r="J187" s="21"/>
      <c r="K187" s="107"/>
      <c r="L187" s="38"/>
      <c r="M187" s="107"/>
      <c r="N187" s="107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104"/>
      <c r="B188" s="104"/>
      <c r="C188" s="104"/>
      <c r="D188" s="104"/>
      <c r="E188" s="109"/>
      <c r="F188" s="21"/>
      <c r="G188" s="21"/>
      <c r="H188" s="21"/>
      <c r="I188" s="21"/>
      <c r="J188" s="21"/>
      <c r="K188" s="107"/>
      <c r="L188" s="38"/>
      <c r="M188" s="107"/>
      <c r="N188" s="107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104"/>
      <c r="B189" s="104"/>
      <c r="C189" s="104"/>
      <c r="D189" s="104"/>
      <c r="E189" s="109"/>
      <c r="F189" s="21"/>
      <c r="G189" s="21"/>
      <c r="H189" s="21"/>
      <c r="I189" s="21"/>
      <c r="J189" s="21"/>
      <c r="K189" s="107"/>
      <c r="L189" s="38"/>
      <c r="M189" s="107"/>
      <c r="N189" s="107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104"/>
      <c r="B190" s="104"/>
      <c r="C190" s="104"/>
      <c r="D190" s="104"/>
      <c r="E190" s="109"/>
      <c r="F190" s="21"/>
      <c r="G190" s="21"/>
      <c r="H190" s="21"/>
      <c r="I190" s="21"/>
      <c r="J190" s="21"/>
      <c r="K190" s="107"/>
      <c r="L190" s="38"/>
      <c r="M190" s="107"/>
      <c r="N190" s="107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104"/>
      <c r="B191" s="104"/>
      <c r="C191" s="104"/>
      <c r="D191" s="104"/>
      <c r="E191" s="109"/>
      <c r="F191" s="21"/>
      <c r="G191" s="21"/>
      <c r="H191" s="21"/>
      <c r="I191" s="21"/>
      <c r="J191" s="21"/>
      <c r="K191" s="107"/>
      <c r="L191" s="38"/>
      <c r="M191" s="107"/>
      <c r="N191" s="107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104"/>
      <c r="B192" s="104"/>
      <c r="C192" s="104"/>
      <c r="D192" s="104"/>
      <c r="E192" s="109"/>
      <c r="F192" s="21"/>
      <c r="G192" s="21"/>
      <c r="H192" s="21"/>
      <c r="I192" s="21"/>
      <c r="J192" s="21"/>
      <c r="K192" s="107"/>
      <c r="L192" s="38"/>
      <c r="M192" s="107"/>
      <c r="N192" s="107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104"/>
      <c r="B193" s="104"/>
      <c r="C193" s="104"/>
      <c r="D193" s="104"/>
      <c r="E193" s="109"/>
      <c r="F193" s="21"/>
      <c r="G193" s="21"/>
      <c r="H193" s="21"/>
      <c r="I193" s="21"/>
      <c r="J193" s="21"/>
      <c r="K193" s="107"/>
      <c r="L193" s="38"/>
      <c r="M193" s="107"/>
      <c r="N193" s="107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104"/>
      <c r="B194" s="104"/>
      <c r="C194" s="104"/>
      <c r="D194" s="104"/>
      <c r="E194" s="109"/>
      <c r="F194" s="21"/>
      <c r="G194" s="21"/>
      <c r="H194" s="21"/>
      <c r="I194" s="21"/>
      <c r="J194" s="21"/>
      <c r="K194" s="107"/>
      <c r="L194" s="38"/>
      <c r="M194" s="107"/>
      <c r="N194" s="107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104"/>
      <c r="B195" s="104"/>
      <c r="C195" s="104"/>
      <c r="D195" s="104"/>
      <c r="E195" s="109"/>
      <c r="F195" s="21"/>
      <c r="G195" s="21"/>
      <c r="H195" s="21"/>
      <c r="I195" s="21"/>
      <c r="J195" s="21"/>
      <c r="K195" s="107"/>
      <c r="L195" s="38"/>
      <c r="M195" s="107"/>
      <c r="N195" s="107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104"/>
      <c r="B196" s="104"/>
      <c r="C196" s="104"/>
      <c r="D196" s="104"/>
      <c r="E196" s="109"/>
      <c r="F196" s="21"/>
      <c r="G196" s="21"/>
      <c r="H196" s="21"/>
      <c r="I196" s="21"/>
      <c r="J196" s="21"/>
      <c r="K196" s="107"/>
      <c r="L196" s="38"/>
      <c r="M196" s="107"/>
      <c r="N196" s="107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104"/>
      <c r="B197" s="104"/>
      <c r="C197" s="104"/>
      <c r="D197" s="104"/>
      <c r="E197" s="109"/>
      <c r="F197" s="21"/>
      <c r="G197" s="21"/>
      <c r="H197" s="21"/>
      <c r="I197" s="21"/>
      <c r="J197" s="21"/>
      <c r="K197" s="107"/>
      <c r="L197" s="38"/>
      <c r="M197" s="107"/>
      <c r="N197" s="107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104"/>
      <c r="B198" s="104"/>
      <c r="C198" s="104"/>
      <c r="D198" s="104"/>
      <c r="E198" s="109"/>
      <c r="F198" s="21"/>
      <c r="G198" s="21"/>
      <c r="H198" s="21"/>
      <c r="I198" s="21"/>
      <c r="J198" s="21"/>
      <c r="K198" s="107"/>
      <c r="L198" s="38"/>
      <c r="M198" s="107"/>
      <c r="N198" s="107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104"/>
      <c r="B199" s="104"/>
      <c r="C199" s="104"/>
      <c r="D199" s="104"/>
      <c r="E199" s="109"/>
      <c r="F199" s="21"/>
      <c r="G199" s="21"/>
      <c r="H199" s="21"/>
      <c r="I199" s="21"/>
      <c r="J199" s="21"/>
      <c r="K199" s="107"/>
      <c r="L199" s="38"/>
      <c r="M199" s="107"/>
      <c r="N199" s="107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104"/>
      <c r="B200" s="104"/>
      <c r="C200" s="104"/>
      <c r="D200" s="104"/>
      <c r="E200" s="109"/>
      <c r="F200" s="21"/>
      <c r="G200" s="21"/>
      <c r="H200" s="21"/>
      <c r="I200" s="21"/>
      <c r="J200" s="21"/>
      <c r="K200" s="107"/>
      <c r="L200" s="38"/>
      <c r="M200" s="107"/>
      <c r="N200" s="107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104"/>
      <c r="B201" s="104"/>
      <c r="C201" s="104"/>
      <c r="D201" s="104"/>
      <c r="E201" s="109"/>
      <c r="F201" s="21"/>
      <c r="G201" s="21"/>
      <c r="H201" s="21"/>
      <c r="I201" s="21"/>
      <c r="J201" s="21"/>
      <c r="K201" s="107"/>
      <c r="L201" s="38"/>
      <c r="M201" s="107"/>
      <c r="N201" s="107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104"/>
      <c r="B202" s="104"/>
      <c r="C202" s="104"/>
      <c r="D202" s="104"/>
      <c r="E202" s="109"/>
      <c r="F202" s="21"/>
      <c r="G202" s="21"/>
      <c r="H202" s="21"/>
      <c r="I202" s="21"/>
      <c r="J202" s="21"/>
      <c r="K202" s="107"/>
      <c r="L202" s="38"/>
      <c r="M202" s="107"/>
      <c r="N202" s="107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104"/>
      <c r="B203" s="104"/>
      <c r="C203" s="104"/>
      <c r="D203" s="104"/>
      <c r="E203" s="109"/>
      <c r="F203" s="21"/>
      <c r="G203" s="21"/>
      <c r="H203" s="21"/>
      <c r="I203" s="21"/>
      <c r="J203" s="21"/>
      <c r="K203" s="107"/>
      <c r="L203" s="38"/>
      <c r="M203" s="107"/>
      <c r="N203" s="107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104"/>
      <c r="B204" s="104"/>
      <c r="C204" s="104"/>
      <c r="D204" s="104"/>
      <c r="E204" s="109"/>
      <c r="F204" s="21"/>
      <c r="G204" s="21"/>
      <c r="H204" s="21"/>
      <c r="I204" s="21"/>
      <c r="J204" s="21"/>
      <c r="K204" s="107"/>
      <c r="L204" s="38"/>
      <c r="M204" s="107"/>
      <c r="N204" s="107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104"/>
      <c r="B205" s="104"/>
      <c r="C205" s="104"/>
      <c r="D205" s="104"/>
      <c r="E205" s="109"/>
      <c r="F205" s="21"/>
      <c r="G205" s="21"/>
      <c r="H205" s="21"/>
      <c r="I205" s="21"/>
      <c r="J205" s="21"/>
      <c r="K205" s="107"/>
      <c r="L205" s="38"/>
      <c r="M205" s="107"/>
      <c r="N205" s="107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104"/>
      <c r="B206" s="104"/>
      <c r="C206" s="104"/>
      <c r="D206" s="104"/>
      <c r="E206" s="109"/>
      <c r="F206" s="21"/>
      <c r="G206" s="21"/>
      <c r="H206" s="21"/>
      <c r="I206" s="21"/>
      <c r="J206" s="21"/>
      <c r="K206" s="107"/>
      <c r="L206" s="38"/>
      <c r="M206" s="107"/>
      <c r="N206" s="107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104"/>
      <c r="B207" s="104"/>
      <c r="C207" s="104"/>
      <c r="D207" s="104"/>
      <c r="E207" s="109"/>
      <c r="F207" s="21"/>
      <c r="G207" s="21"/>
      <c r="H207" s="21"/>
      <c r="I207" s="21"/>
      <c r="J207" s="21"/>
      <c r="K207" s="107"/>
      <c r="L207" s="38"/>
      <c r="M207" s="107"/>
      <c r="N207" s="107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104"/>
      <c r="B208" s="104"/>
      <c r="C208" s="104"/>
      <c r="D208" s="104"/>
      <c r="E208" s="109"/>
      <c r="F208" s="21"/>
      <c r="G208" s="21"/>
      <c r="H208" s="21"/>
      <c r="I208" s="21"/>
      <c r="J208" s="21"/>
      <c r="K208" s="107"/>
      <c r="L208" s="38"/>
      <c r="M208" s="107"/>
      <c r="N208" s="107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104"/>
      <c r="B209" s="104"/>
      <c r="C209" s="104"/>
      <c r="D209" s="104"/>
      <c r="E209" s="109"/>
      <c r="F209" s="21"/>
      <c r="G209" s="21"/>
      <c r="H209" s="21"/>
      <c r="I209" s="21"/>
      <c r="J209" s="21"/>
      <c r="K209" s="107"/>
      <c r="L209" s="38"/>
      <c r="M209" s="107"/>
      <c r="N209" s="107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104"/>
      <c r="B210" s="104"/>
      <c r="C210" s="104"/>
      <c r="D210" s="104"/>
      <c r="E210" s="109"/>
      <c r="F210" s="21"/>
      <c r="G210" s="21"/>
      <c r="H210" s="21"/>
      <c r="I210" s="21"/>
      <c r="J210" s="21"/>
      <c r="K210" s="107"/>
      <c r="L210" s="38"/>
      <c r="M210" s="107"/>
      <c r="N210" s="107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104"/>
      <c r="B211" s="104"/>
      <c r="C211" s="104"/>
      <c r="D211" s="104"/>
      <c r="E211" s="109"/>
      <c r="F211" s="21"/>
      <c r="G211" s="21"/>
      <c r="H211" s="21"/>
      <c r="I211" s="21"/>
      <c r="J211" s="21"/>
      <c r="K211" s="107"/>
      <c r="L211" s="38"/>
      <c r="M211" s="107"/>
      <c r="N211" s="107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104"/>
      <c r="B212" s="104"/>
      <c r="C212" s="104"/>
      <c r="D212" s="104"/>
      <c r="E212" s="109"/>
      <c r="F212" s="21"/>
      <c r="G212" s="21"/>
      <c r="H212" s="21"/>
      <c r="I212" s="21"/>
      <c r="J212" s="21"/>
      <c r="K212" s="107"/>
      <c r="L212" s="38"/>
      <c r="M212" s="107"/>
      <c r="N212" s="107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104"/>
      <c r="B213" s="104"/>
      <c r="C213" s="104"/>
      <c r="D213" s="104"/>
      <c r="E213" s="109"/>
      <c r="F213" s="21"/>
      <c r="G213" s="21"/>
      <c r="H213" s="21"/>
      <c r="I213" s="21"/>
      <c r="J213" s="21"/>
      <c r="K213" s="107"/>
      <c r="L213" s="38"/>
      <c r="M213" s="107"/>
      <c r="N213" s="107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104"/>
      <c r="B214" s="104"/>
      <c r="C214" s="104"/>
      <c r="D214" s="104"/>
      <c r="E214" s="109"/>
      <c r="F214" s="21"/>
      <c r="G214" s="21"/>
      <c r="H214" s="21"/>
      <c r="I214" s="21"/>
      <c r="J214" s="21"/>
      <c r="K214" s="107"/>
      <c r="L214" s="38"/>
      <c r="M214" s="107"/>
      <c r="N214" s="107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104"/>
      <c r="B215" s="104"/>
      <c r="C215" s="104"/>
      <c r="D215" s="104"/>
      <c r="E215" s="109"/>
      <c r="F215" s="21"/>
      <c r="G215" s="21"/>
      <c r="H215" s="21"/>
      <c r="I215" s="21"/>
      <c r="J215" s="21"/>
      <c r="K215" s="107"/>
      <c r="L215" s="38"/>
      <c r="M215" s="107"/>
      <c r="N215" s="107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104"/>
      <c r="B216" s="104"/>
      <c r="C216" s="104"/>
      <c r="D216" s="104"/>
      <c r="E216" s="109"/>
      <c r="F216" s="21"/>
      <c r="G216" s="21"/>
      <c r="H216" s="21"/>
      <c r="I216" s="21"/>
      <c r="J216" s="21"/>
      <c r="K216" s="107"/>
      <c r="L216" s="38"/>
      <c r="M216" s="107"/>
      <c r="N216" s="107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104"/>
      <c r="B217" s="104"/>
      <c r="C217" s="104"/>
      <c r="D217" s="104"/>
      <c r="E217" s="109"/>
      <c r="F217" s="21"/>
      <c r="G217" s="21"/>
      <c r="H217" s="21"/>
      <c r="I217" s="21"/>
      <c r="J217" s="21"/>
      <c r="K217" s="107"/>
      <c r="L217" s="38"/>
      <c r="M217" s="107"/>
      <c r="N217" s="107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104"/>
      <c r="B218" s="104"/>
      <c r="C218" s="104"/>
      <c r="D218" s="104"/>
      <c r="E218" s="109"/>
      <c r="F218" s="21"/>
      <c r="G218" s="21"/>
      <c r="H218" s="21"/>
      <c r="I218" s="21"/>
      <c r="J218" s="21"/>
      <c r="K218" s="107"/>
      <c r="L218" s="38"/>
      <c r="M218" s="107"/>
      <c r="N218" s="107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104"/>
      <c r="B219" s="104"/>
      <c r="C219" s="104"/>
      <c r="D219" s="104"/>
      <c r="E219" s="109"/>
      <c r="F219" s="21"/>
      <c r="G219" s="21"/>
      <c r="H219" s="21"/>
      <c r="I219" s="21"/>
      <c r="J219" s="21"/>
      <c r="K219" s="107"/>
      <c r="L219" s="38"/>
      <c r="M219" s="107"/>
      <c r="N219" s="107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104"/>
      <c r="B220" s="104"/>
      <c r="C220" s="104"/>
      <c r="D220" s="104"/>
      <c r="E220" s="109"/>
      <c r="F220" s="21"/>
      <c r="G220" s="21"/>
      <c r="H220" s="21"/>
      <c r="I220" s="21"/>
      <c r="J220" s="21"/>
      <c r="K220" s="107"/>
      <c r="L220" s="38"/>
      <c r="M220" s="107"/>
      <c r="N220" s="107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104"/>
      <c r="B221" s="104"/>
      <c r="C221" s="104"/>
      <c r="D221" s="104"/>
      <c r="E221" s="109"/>
      <c r="F221" s="21"/>
      <c r="G221" s="21"/>
      <c r="H221" s="21"/>
      <c r="I221" s="21"/>
      <c r="J221" s="21"/>
      <c r="K221" s="107"/>
      <c r="L221" s="38"/>
      <c r="M221" s="107"/>
      <c r="N221" s="107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104"/>
      <c r="B222" s="104"/>
      <c r="C222" s="104"/>
      <c r="D222" s="104"/>
      <c r="E222" s="109"/>
      <c r="F222" s="21"/>
      <c r="G222" s="21"/>
      <c r="H222" s="21"/>
      <c r="I222" s="21"/>
      <c r="J222" s="21"/>
      <c r="K222" s="107"/>
      <c r="L222" s="38"/>
      <c r="M222" s="107"/>
      <c r="N222" s="107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104"/>
      <c r="B223" s="104"/>
      <c r="C223" s="104"/>
      <c r="D223" s="104"/>
      <c r="E223" s="109"/>
      <c r="F223" s="21"/>
      <c r="G223" s="21"/>
      <c r="H223" s="21"/>
      <c r="I223" s="21"/>
      <c r="J223" s="21"/>
      <c r="K223" s="107"/>
      <c r="L223" s="38"/>
      <c r="M223" s="107"/>
      <c r="N223" s="107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104"/>
      <c r="B224" s="104"/>
      <c r="C224" s="104"/>
      <c r="D224" s="104"/>
      <c r="E224" s="109"/>
      <c r="F224" s="21"/>
      <c r="G224" s="21"/>
      <c r="H224" s="21"/>
      <c r="I224" s="21"/>
      <c r="J224" s="21"/>
      <c r="K224" s="107"/>
      <c r="L224" s="38"/>
      <c r="M224" s="107"/>
      <c r="N224" s="107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104"/>
      <c r="B225" s="104"/>
      <c r="C225" s="104"/>
      <c r="D225" s="104"/>
      <c r="E225" s="109"/>
      <c r="F225" s="21"/>
      <c r="G225" s="21"/>
      <c r="H225" s="21"/>
      <c r="I225" s="21"/>
      <c r="J225" s="21"/>
      <c r="K225" s="107"/>
      <c r="L225" s="38"/>
      <c r="M225" s="107"/>
      <c r="N225" s="107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104"/>
      <c r="B226" s="104"/>
      <c r="C226" s="104"/>
      <c r="D226" s="104"/>
      <c r="E226" s="109"/>
      <c r="F226" s="21"/>
      <c r="G226" s="21"/>
      <c r="H226" s="21"/>
      <c r="I226" s="21"/>
      <c r="J226" s="21"/>
      <c r="K226" s="107"/>
      <c r="L226" s="38"/>
      <c r="M226" s="107"/>
      <c r="N226" s="107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104"/>
      <c r="B227" s="104"/>
      <c r="C227" s="104"/>
      <c r="D227" s="104"/>
      <c r="E227" s="109"/>
      <c r="F227" s="21"/>
      <c r="G227" s="21"/>
      <c r="H227" s="21"/>
      <c r="I227" s="21"/>
      <c r="J227" s="21"/>
      <c r="K227" s="107"/>
      <c r="L227" s="38"/>
      <c r="M227" s="107"/>
      <c r="N227" s="107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104"/>
      <c r="B228" s="104"/>
      <c r="C228" s="104"/>
      <c r="D228" s="104"/>
      <c r="E228" s="109"/>
      <c r="F228" s="21"/>
      <c r="G228" s="21"/>
      <c r="H228" s="21"/>
      <c r="I228" s="21"/>
      <c r="J228" s="21"/>
      <c r="K228" s="107"/>
      <c r="L228" s="38"/>
      <c r="M228" s="107"/>
      <c r="N228" s="107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104"/>
      <c r="B229" s="104"/>
      <c r="C229" s="104"/>
      <c r="D229" s="104"/>
      <c r="E229" s="109"/>
      <c r="F229" s="21"/>
      <c r="G229" s="21"/>
      <c r="H229" s="21"/>
      <c r="I229" s="21"/>
      <c r="J229" s="21"/>
      <c r="K229" s="107"/>
      <c r="L229" s="38"/>
      <c r="M229" s="107"/>
      <c r="N229" s="107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104"/>
      <c r="B230" s="104"/>
      <c r="C230" s="104"/>
      <c r="D230" s="104"/>
      <c r="E230" s="109"/>
      <c r="F230" s="21"/>
      <c r="G230" s="21"/>
      <c r="H230" s="21"/>
      <c r="I230" s="21"/>
      <c r="J230" s="21"/>
      <c r="K230" s="107"/>
      <c r="L230" s="38"/>
      <c r="M230" s="107"/>
      <c r="N230" s="107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104"/>
      <c r="B231" s="104"/>
      <c r="C231" s="104"/>
      <c r="D231" s="104"/>
      <c r="E231" s="109"/>
      <c r="F231" s="21"/>
      <c r="G231" s="21"/>
      <c r="H231" s="21"/>
      <c r="I231" s="21"/>
      <c r="J231" s="21"/>
      <c r="K231" s="107"/>
      <c r="L231" s="38"/>
      <c r="M231" s="107"/>
      <c r="N231" s="107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104"/>
      <c r="B232" s="104"/>
      <c r="C232" s="104"/>
      <c r="D232" s="104"/>
      <c r="E232" s="109"/>
      <c r="F232" s="21"/>
      <c r="G232" s="21"/>
      <c r="H232" s="21"/>
      <c r="I232" s="21"/>
      <c r="J232" s="21"/>
      <c r="K232" s="107"/>
      <c r="L232" s="38"/>
      <c r="M232" s="107"/>
      <c r="N232" s="107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104"/>
      <c r="B233" s="104"/>
      <c r="C233" s="104"/>
      <c r="D233" s="104"/>
      <c r="E233" s="109"/>
      <c r="F233" s="21"/>
      <c r="G233" s="21"/>
      <c r="H233" s="21"/>
      <c r="I233" s="21"/>
      <c r="J233" s="21"/>
      <c r="K233" s="107"/>
      <c r="L233" s="38"/>
      <c r="M233" s="107"/>
      <c r="N233" s="107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104"/>
      <c r="B234" s="104"/>
      <c r="C234" s="104"/>
      <c r="D234" s="104"/>
      <c r="E234" s="109"/>
      <c r="F234" s="21"/>
      <c r="G234" s="21"/>
      <c r="H234" s="21"/>
      <c r="I234" s="21"/>
      <c r="J234" s="21"/>
      <c r="K234" s="107"/>
      <c r="L234" s="38"/>
      <c r="M234" s="107"/>
      <c r="N234" s="107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104"/>
      <c r="B235" s="104"/>
      <c r="C235" s="104"/>
      <c r="D235" s="104"/>
      <c r="E235" s="109"/>
      <c r="F235" s="21"/>
      <c r="G235" s="21"/>
      <c r="H235" s="21"/>
      <c r="I235" s="21"/>
      <c r="J235" s="21"/>
      <c r="K235" s="107"/>
      <c r="L235" s="38"/>
      <c r="M235" s="107"/>
      <c r="N235" s="107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104"/>
      <c r="B236" s="104"/>
      <c r="C236" s="104"/>
      <c r="D236" s="104"/>
      <c r="E236" s="109"/>
      <c r="F236" s="21"/>
      <c r="G236" s="21"/>
      <c r="H236" s="21"/>
      <c r="I236" s="21"/>
      <c r="J236" s="21"/>
      <c r="K236" s="107"/>
      <c r="L236" s="38"/>
      <c r="M236" s="107"/>
      <c r="N236" s="107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104"/>
      <c r="B237" s="104"/>
      <c r="C237" s="104"/>
      <c r="D237" s="104"/>
      <c r="E237" s="109"/>
      <c r="F237" s="21"/>
      <c r="G237" s="21"/>
      <c r="H237" s="21"/>
      <c r="I237" s="21"/>
      <c r="J237" s="21"/>
      <c r="K237" s="107"/>
      <c r="L237" s="38"/>
      <c r="M237" s="107"/>
      <c r="N237" s="107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104"/>
      <c r="B238" s="104"/>
      <c r="C238" s="104"/>
      <c r="D238" s="104"/>
      <c r="E238" s="109"/>
      <c r="F238" s="21"/>
      <c r="G238" s="21"/>
      <c r="H238" s="21"/>
      <c r="I238" s="21"/>
      <c r="J238" s="21"/>
      <c r="K238" s="107"/>
      <c r="L238" s="38"/>
      <c r="M238" s="107"/>
      <c r="N238" s="107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104"/>
      <c r="B239" s="104"/>
      <c r="C239" s="104"/>
      <c r="D239" s="104"/>
      <c r="E239" s="109"/>
      <c r="F239" s="21"/>
      <c r="G239" s="21"/>
      <c r="H239" s="21"/>
      <c r="I239" s="21"/>
      <c r="J239" s="21"/>
      <c r="K239" s="107"/>
      <c r="L239" s="38"/>
      <c r="M239" s="107"/>
      <c r="N239" s="107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104"/>
      <c r="B240" s="104"/>
      <c r="C240" s="104"/>
      <c r="D240" s="104"/>
      <c r="E240" s="109"/>
      <c r="F240" s="21"/>
      <c r="G240" s="21"/>
      <c r="H240" s="21"/>
      <c r="I240" s="21"/>
      <c r="J240" s="21"/>
      <c r="K240" s="107"/>
      <c r="L240" s="38"/>
      <c r="M240" s="107"/>
      <c r="N240" s="107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104"/>
      <c r="B241" s="104"/>
      <c r="C241" s="104"/>
      <c r="D241" s="104"/>
      <c r="E241" s="109"/>
      <c r="F241" s="21"/>
      <c r="G241" s="21"/>
      <c r="H241" s="21"/>
      <c r="I241" s="21"/>
      <c r="J241" s="21"/>
      <c r="K241" s="107"/>
      <c r="L241" s="38"/>
      <c r="M241" s="107"/>
      <c r="N241" s="107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104"/>
      <c r="B242" s="104"/>
      <c r="C242" s="104"/>
      <c r="D242" s="104"/>
      <c r="E242" s="109"/>
      <c r="F242" s="21"/>
      <c r="G242" s="21"/>
      <c r="H242" s="21"/>
      <c r="I242" s="21"/>
      <c r="J242" s="21"/>
      <c r="K242" s="107"/>
      <c r="L242" s="38"/>
      <c r="M242" s="107"/>
      <c r="N242" s="107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104"/>
      <c r="B243" s="104"/>
      <c r="C243" s="104"/>
      <c r="D243" s="104"/>
      <c r="E243" s="109"/>
      <c r="F243" s="21"/>
      <c r="G243" s="21"/>
      <c r="H243" s="21"/>
      <c r="I243" s="21"/>
      <c r="J243" s="21"/>
      <c r="K243" s="107"/>
      <c r="L243" s="38"/>
      <c r="M243" s="107"/>
      <c r="N243" s="107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104"/>
      <c r="B244" s="104"/>
      <c r="C244" s="104"/>
      <c r="D244" s="104"/>
      <c r="E244" s="109"/>
      <c r="F244" s="21"/>
      <c r="G244" s="21"/>
      <c r="H244" s="21"/>
      <c r="I244" s="21"/>
      <c r="J244" s="21"/>
      <c r="K244" s="107"/>
      <c r="L244" s="38"/>
      <c r="M244" s="107"/>
      <c r="N244" s="107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104"/>
      <c r="B245" s="104"/>
      <c r="C245" s="104"/>
      <c r="D245" s="104"/>
      <c r="E245" s="109"/>
      <c r="F245" s="21"/>
      <c r="G245" s="21"/>
      <c r="H245" s="21"/>
      <c r="I245" s="21"/>
      <c r="J245" s="21"/>
      <c r="K245" s="107"/>
      <c r="L245" s="38"/>
      <c r="M245" s="107"/>
      <c r="N245" s="107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104"/>
      <c r="B246" s="104"/>
      <c r="C246" s="104"/>
      <c r="D246" s="104"/>
      <c r="E246" s="109"/>
      <c r="F246" s="21"/>
      <c r="G246" s="21"/>
      <c r="H246" s="21"/>
      <c r="I246" s="21"/>
      <c r="J246" s="21"/>
      <c r="K246" s="107"/>
      <c r="L246" s="38"/>
      <c r="M246" s="107"/>
      <c r="N246" s="107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104"/>
      <c r="B247" s="104"/>
      <c r="C247" s="104"/>
      <c r="D247" s="104"/>
      <c r="E247" s="109"/>
      <c r="F247" s="21"/>
      <c r="G247" s="21"/>
      <c r="H247" s="21"/>
      <c r="I247" s="21"/>
      <c r="J247" s="21"/>
      <c r="K247" s="107"/>
      <c r="L247" s="38"/>
      <c r="M247" s="107"/>
      <c r="N247" s="107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104"/>
      <c r="B248" s="104"/>
      <c r="C248" s="104"/>
      <c r="D248" s="104"/>
      <c r="E248" s="109"/>
      <c r="F248" s="21"/>
      <c r="G248" s="21"/>
      <c r="H248" s="21"/>
      <c r="I248" s="21"/>
      <c r="J248" s="21"/>
      <c r="K248" s="107"/>
      <c r="L248" s="38"/>
      <c r="M248" s="107"/>
      <c r="N248" s="107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104"/>
      <c r="B249" s="104"/>
      <c r="C249" s="104"/>
      <c r="D249" s="104"/>
      <c r="E249" s="109"/>
      <c r="F249" s="21"/>
      <c r="G249" s="21"/>
      <c r="H249" s="21"/>
      <c r="I249" s="21"/>
      <c r="J249" s="21"/>
      <c r="K249" s="107"/>
      <c r="L249" s="38"/>
      <c r="M249" s="107"/>
      <c r="N249" s="107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104"/>
      <c r="B250" s="104"/>
      <c r="C250" s="104"/>
      <c r="D250" s="104"/>
      <c r="E250" s="109"/>
      <c r="F250" s="21"/>
      <c r="G250" s="21"/>
      <c r="H250" s="21"/>
      <c r="I250" s="21"/>
      <c r="J250" s="21"/>
      <c r="K250" s="107"/>
      <c r="L250" s="38"/>
      <c r="M250" s="107"/>
      <c r="N250" s="107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104"/>
      <c r="B251" s="104"/>
      <c r="C251" s="104"/>
      <c r="D251" s="104"/>
      <c r="E251" s="109"/>
      <c r="F251" s="21"/>
      <c r="G251" s="21"/>
      <c r="H251" s="21"/>
      <c r="I251" s="21"/>
      <c r="J251" s="21"/>
      <c r="K251" s="107"/>
      <c r="L251" s="38"/>
      <c r="M251" s="107"/>
      <c r="N251" s="107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104"/>
      <c r="B252" s="104"/>
      <c r="C252" s="104"/>
      <c r="D252" s="104"/>
      <c r="E252" s="109"/>
      <c r="F252" s="21"/>
      <c r="G252" s="21"/>
      <c r="H252" s="21"/>
      <c r="I252" s="21"/>
      <c r="J252" s="21"/>
      <c r="K252" s="107"/>
      <c r="L252" s="38"/>
      <c r="M252" s="107"/>
      <c r="N252" s="107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104"/>
      <c r="B253" s="104"/>
      <c r="C253" s="104"/>
      <c r="D253" s="104"/>
      <c r="E253" s="109"/>
      <c r="F253" s="21"/>
      <c r="G253" s="21"/>
      <c r="H253" s="21"/>
      <c r="I253" s="21"/>
      <c r="J253" s="21"/>
      <c r="K253" s="107"/>
      <c r="L253" s="38"/>
      <c r="M253" s="107"/>
      <c r="N253" s="107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104"/>
      <c r="B254" s="104"/>
      <c r="C254" s="104"/>
      <c r="D254" s="104"/>
      <c r="E254" s="109"/>
      <c r="F254" s="21"/>
      <c r="G254" s="21"/>
      <c r="H254" s="21"/>
      <c r="I254" s="21"/>
      <c r="J254" s="21"/>
      <c r="K254" s="107"/>
      <c r="L254" s="38"/>
      <c r="M254" s="107"/>
      <c r="N254" s="107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104"/>
      <c r="B255" s="104"/>
      <c r="C255" s="104"/>
      <c r="D255" s="104"/>
      <c r="E255" s="109"/>
      <c r="F255" s="21"/>
      <c r="G255" s="21"/>
      <c r="H255" s="21"/>
      <c r="I255" s="21"/>
      <c r="J255" s="21"/>
      <c r="K255" s="107"/>
      <c r="L255" s="38"/>
      <c r="M255" s="107"/>
      <c r="N255" s="107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104"/>
      <c r="B256" s="104"/>
      <c r="C256" s="104"/>
      <c r="D256" s="104"/>
      <c r="E256" s="109"/>
      <c r="F256" s="21"/>
      <c r="G256" s="21"/>
      <c r="H256" s="21"/>
      <c r="I256" s="21"/>
      <c r="J256" s="21"/>
      <c r="K256" s="107"/>
      <c r="L256" s="38"/>
      <c r="M256" s="107"/>
      <c r="N256" s="107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104"/>
      <c r="B257" s="104"/>
      <c r="C257" s="104"/>
      <c r="D257" s="104"/>
      <c r="E257" s="109"/>
      <c r="F257" s="21"/>
      <c r="G257" s="21"/>
      <c r="H257" s="21"/>
      <c r="I257" s="21"/>
      <c r="J257" s="21"/>
      <c r="K257" s="107"/>
      <c r="L257" s="38"/>
      <c r="M257" s="107"/>
      <c r="N257" s="107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104"/>
      <c r="B258" s="104"/>
      <c r="C258" s="104"/>
      <c r="D258" s="104"/>
      <c r="E258" s="109"/>
      <c r="F258" s="21"/>
      <c r="G258" s="21"/>
      <c r="H258" s="21"/>
      <c r="I258" s="21"/>
      <c r="J258" s="21"/>
      <c r="K258" s="107"/>
      <c r="L258" s="38"/>
      <c r="M258" s="107"/>
      <c r="N258" s="107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104"/>
      <c r="B259" s="104"/>
      <c r="C259" s="104"/>
      <c r="D259" s="104"/>
      <c r="E259" s="109"/>
      <c r="F259" s="21"/>
      <c r="G259" s="21"/>
      <c r="H259" s="21"/>
      <c r="I259" s="21"/>
      <c r="J259" s="21"/>
      <c r="K259" s="107"/>
      <c r="L259" s="38"/>
      <c r="M259" s="107"/>
      <c r="N259" s="107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104"/>
      <c r="B260" s="104"/>
      <c r="C260" s="104"/>
      <c r="D260" s="104"/>
      <c r="E260" s="109"/>
      <c r="F260" s="21"/>
      <c r="G260" s="21"/>
      <c r="H260" s="21"/>
      <c r="I260" s="21"/>
      <c r="J260" s="21"/>
      <c r="K260" s="107"/>
      <c r="L260" s="38"/>
      <c r="M260" s="107"/>
      <c r="N260" s="107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104"/>
      <c r="B261" s="104"/>
      <c r="C261" s="104"/>
      <c r="D261" s="104"/>
      <c r="E261" s="109"/>
      <c r="F261" s="21"/>
      <c r="G261" s="21"/>
      <c r="H261" s="21"/>
      <c r="I261" s="21"/>
      <c r="J261" s="21"/>
      <c r="K261" s="107"/>
      <c r="L261" s="38"/>
      <c r="M261" s="107"/>
      <c r="N261" s="107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104"/>
      <c r="B262" s="104"/>
      <c r="C262" s="104"/>
      <c r="D262" s="104"/>
      <c r="E262" s="109"/>
      <c r="F262" s="21"/>
      <c r="G262" s="21"/>
      <c r="H262" s="21"/>
      <c r="I262" s="21"/>
      <c r="J262" s="21"/>
      <c r="K262" s="107"/>
      <c r="L262" s="38"/>
      <c r="M262" s="107"/>
      <c r="N262" s="107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104"/>
      <c r="B263" s="104"/>
      <c r="C263" s="104"/>
      <c r="D263" s="104"/>
      <c r="E263" s="109"/>
      <c r="F263" s="21"/>
      <c r="G263" s="21"/>
      <c r="H263" s="21"/>
      <c r="I263" s="21"/>
      <c r="J263" s="21"/>
      <c r="K263" s="107"/>
      <c r="L263" s="38"/>
      <c r="M263" s="107"/>
      <c r="N263" s="107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104"/>
      <c r="B264" s="104"/>
      <c r="C264" s="104"/>
      <c r="D264" s="104"/>
      <c r="E264" s="109"/>
      <c r="F264" s="21"/>
      <c r="G264" s="21"/>
      <c r="H264" s="21"/>
      <c r="I264" s="21"/>
      <c r="J264" s="21"/>
      <c r="K264" s="107"/>
      <c r="L264" s="38"/>
      <c r="M264" s="107"/>
      <c r="N264" s="107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104"/>
      <c r="B265" s="104"/>
      <c r="C265" s="104"/>
      <c r="D265" s="104"/>
      <c r="E265" s="109"/>
      <c r="F265" s="21"/>
      <c r="G265" s="21"/>
      <c r="H265" s="21"/>
      <c r="I265" s="21"/>
      <c r="J265" s="21"/>
      <c r="K265" s="107"/>
      <c r="L265" s="38"/>
      <c r="M265" s="107"/>
      <c r="N265" s="107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104"/>
      <c r="B266" s="104"/>
      <c r="C266" s="104"/>
      <c r="D266" s="104"/>
      <c r="E266" s="109"/>
      <c r="F266" s="21"/>
      <c r="G266" s="21"/>
      <c r="H266" s="21"/>
      <c r="I266" s="21"/>
      <c r="J266" s="21"/>
      <c r="K266" s="107"/>
      <c r="L266" s="38"/>
      <c r="M266" s="107"/>
      <c r="N266" s="107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104"/>
      <c r="B267" s="104"/>
      <c r="C267" s="104"/>
      <c r="D267" s="104"/>
      <c r="E267" s="109"/>
      <c r="F267" s="21"/>
      <c r="G267" s="21"/>
      <c r="H267" s="21"/>
      <c r="I267" s="21"/>
      <c r="J267" s="21"/>
      <c r="K267" s="107"/>
      <c r="L267" s="38"/>
      <c r="M267" s="107"/>
      <c r="N267" s="107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104"/>
      <c r="B268" s="104"/>
      <c r="C268" s="104"/>
      <c r="D268" s="104"/>
      <c r="E268" s="109"/>
      <c r="F268" s="21"/>
      <c r="G268" s="21"/>
      <c r="H268" s="21"/>
      <c r="I268" s="21"/>
      <c r="J268" s="21"/>
      <c r="K268" s="107"/>
      <c r="L268" s="38"/>
      <c r="M268" s="107"/>
      <c r="N268" s="107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104"/>
      <c r="B269" s="104"/>
      <c r="C269" s="104"/>
      <c r="D269" s="104"/>
      <c r="E269" s="109"/>
      <c r="F269" s="21"/>
      <c r="G269" s="21"/>
      <c r="H269" s="21"/>
      <c r="I269" s="21"/>
      <c r="J269" s="21"/>
      <c r="K269" s="107"/>
      <c r="L269" s="38"/>
      <c r="M269" s="107"/>
      <c r="N269" s="107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104"/>
      <c r="B270" s="104"/>
      <c r="C270" s="104"/>
      <c r="D270" s="104"/>
      <c r="E270" s="109"/>
      <c r="F270" s="21"/>
      <c r="G270" s="21"/>
      <c r="H270" s="21"/>
      <c r="I270" s="21"/>
      <c r="J270" s="21"/>
      <c r="K270" s="107"/>
      <c r="L270" s="38"/>
      <c r="M270" s="107"/>
      <c r="N270" s="107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104"/>
      <c r="B271" s="104"/>
      <c r="C271" s="104"/>
      <c r="D271" s="104"/>
      <c r="E271" s="109"/>
      <c r="F271" s="21"/>
      <c r="G271" s="21"/>
      <c r="H271" s="21"/>
      <c r="I271" s="21"/>
      <c r="J271" s="21"/>
      <c r="K271" s="107"/>
      <c r="L271" s="38"/>
      <c r="M271" s="107"/>
      <c r="N271" s="107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104"/>
      <c r="B272" s="104"/>
      <c r="C272" s="104"/>
      <c r="D272" s="104"/>
      <c r="E272" s="109"/>
      <c r="F272" s="21"/>
      <c r="G272" s="21"/>
      <c r="H272" s="21"/>
      <c r="I272" s="21"/>
      <c r="J272" s="21"/>
      <c r="K272" s="107"/>
      <c r="L272" s="38"/>
      <c r="M272" s="107"/>
      <c r="N272" s="107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104"/>
      <c r="B273" s="104"/>
      <c r="C273" s="104"/>
      <c r="D273" s="104"/>
      <c r="E273" s="109"/>
      <c r="F273" s="21"/>
      <c r="G273" s="21"/>
      <c r="H273" s="21"/>
      <c r="I273" s="21"/>
      <c r="J273" s="21"/>
      <c r="K273" s="107"/>
      <c r="L273" s="38"/>
      <c r="M273" s="107"/>
      <c r="N273" s="107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104"/>
      <c r="B274" s="104"/>
      <c r="C274" s="104"/>
      <c r="D274" s="104"/>
      <c r="E274" s="109"/>
      <c r="F274" s="21"/>
      <c r="G274" s="21"/>
      <c r="H274" s="21"/>
      <c r="I274" s="21"/>
      <c r="J274" s="21"/>
      <c r="K274" s="107"/>
      <c r="L274" s="38"/>
      <c r="M274" s="107"/>
      <c r="N274" s="107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104"/>
      <c r="B275" s="104"/>
      <c r="C275" s="104"/>
      <c r="D275" s="104"/>
      <c r="E275" s="109"/>
      <c r="F275" s="21"/>
      <c r="G275" s="21"/>
      <c r="H275" s="21"/>
      <c r="I275" s="21"/>
      <c r="J275" s="21"/>
      <c r="K275" s="107"/>
      <c r="L275" s="38"/>
      <c r="M275" s="107"/>
      <c r="N275" s="107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104"/>
      <c r="B276" s="104"/>
      <c r="C276" s="104"/>
      <c r="D276" s="104"/>
      <c r="E276" s="109"/>
      <c r="F276" s="21"/>
      <c r="G276" s="21"/>
      <c r="H276" s="21"/>
      <c r="I276" s="21"/>
      <c r="J276" s="21"/>
      <c r="K276" s="107"/>
      <c r="L276" s="38"/>
      <c r="M276" s="107"/>
      <c r="N276" s="107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104"/>
      <c r="B277" s="104"/>
      <c r="C277" s="104"/>
      <c r="D277" s="104"/>
      <c r="E277" s="109"/>
      <c r="F277" s="21"/>
      <c r="G277" s="21"/>
      <c r="H277" s="21"/>
      <c r="I277" s="21"/>
      <c r="J277" s="21"/>
      <c r="K277" s="107"/>
      <c r="L277" s="38"/>
      <c r="M277" s="107"/>
      <c r="N277" s="107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104"/>
      <c r="B278" s="104"/>
      <c r="C278" s="104"/>
      <c r="D278" s="104"/>
      <c r="E278" s="109"/>
      <c r="F278" s="21"/>
      <c r="G278" s="21"/>
      <c r="H278" s="21"/>
      <c r="I278" s="21"/>
      <c r="J278" s="21"/>
      <c r="K278" s="107"/>
      <c r="L278" s="38"/>
      <c r="M278" s="107"/>
      <c r="N278" s="107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104"/>
      <c r="B279" s="104"/>
      <c r="C279" s="104"/>
      <c r="D279" s="104"/>
      <c r="E279" s="109"/>
      <c r="F279" s="21"/>
      <c r="G279" s="21"/>
      <c r="H279" s="21"/>
      <c r="I279" s="21"/>
      <c r="J279" s="21"/>
      <c r="K279" s="107"/>
      <c r="L279" s="38"/>
      <c r="M279" s="107"/>
      <c r="N279" s="107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104"/>
      <c r="B280" s="104"/>
      <c r="C280" s="104"/>
      <c r="D280" s="104"/>
      <c r="E280" s="109"/>
      <c r="F280" s="21"/>
      <c r="G280" s="21"/>
      <c r="H280" s="21"/>
      <c r="I280" s="21"/>
      <c r="J280" s="21"/>
      <c r="K280" s="107"/>
      <c r="L280" s="38"/>
      <c r="M280" s="107"/>
      <c r="N280" s="107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104"/>
      <c r="B281" s="104"/>
      <c r="C281" s="104"/>
      <c r="D281" s="104"/>
      <c r="E281" s="109"/>
      <c r="F281" s="21"/>
      <c r="G281" s="21"/>
      <c r="H281" s="21"/>
      <c r="I281" s="21"/>
      <c r="J281" s="21"/>
      <c r="K281" s="107"/>
      <c r="L281" s="38"/>
      <c r="M281" s="107"/>
      <c r="N281" s="107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104"/>
      <c r="B282" s="104"/>
      <c r="C282" s="104"/>
      <c r="D282" s="104"/>
      <c r="E282" s="109"/>
      <c r="F282" s="21"/>
      <c r="G282" s="21"/>
      <c r="H282" s="21"/>
      <c r="I282" s="21"/>
      <c r="J282" s="21"/>
      <c r="K282" s="107"/>
      <c r="L282" s="38"/>
      <c r="M282" s="107"/>
      <c r="N282" s="107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104"/>
      <c r="B283" s="104"/>
      <c r="C283" s="104"/>
      <c r="D283" s="104"/>
      <c r="E283" s="109"/>
      <c r="F283" s="21"/>
      <c r="G283" s="21"/>
      <c r="H283" s="21"/>
      <c r="I283" s="21"/>
      <c r="J283" s="21"/>
      <c r="K283" s="107"/>
      <c r="L283" s="38"/>
      <c r="M283" s="107"/>
      <c r="N283" s="107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104"/>
      <c r="B284" s="104"/>
      <c r="C284" s="104"/>
      <c r="D284" s="104"/>
      <c r="E284" s="109"/>
      <c r="F284" s="21"/>
      <c r="G284" s="21"/>
      <c r="H284" s="21"/>
      <c r="I284" s="21"/>
      <c r="J284" s="21"/>
      <c r="K284" s="107"/>
      <c r="L284" s="38"/>
      <c r="M284" s="107"/>
      <c r="N284" s="107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104"/>
      <c r="B285" s="104"/>
      <c r="C285" s="104"/>
      <c r="D285" s="104"/>
      <c r="E285" s="109"/>
      <c r="F285" s="21"/>
      <c r="G285" s="21"/>
      <c r="H285" s="21"/>
      <c r="I285" s="21"/>
      <c r="J285" s="21"/>
      <c r="K285" s="107"/>
      <c r="L285" s="38"/>
      <c r="M285" s="107"/>
      <c r="N285" s="107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104"/>
      <c r="B286" s="104"/>
      <c r="C286" s="104"/>
      <c r="D286" s="104"/>
      <c r="E286" s="109"/>
      <c r="F286" s="21"/>
      <c r="G286" s="21"/>
      <c r="H286" s="21"/>
      <c r="I286" s="21"/>
      <c r="J286" s="21"/>
      <c r="K286" s="107"/>
      <c r="L286" s="38"/>
      <c r="M286" s="107"/>
      <c r="N286" s="107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104"/>
      <c r="B287" s="104"/>
      <c r="C287" s="104"/>
      <c r="D287" s="104"/>
      <c r="E287" s="109"/>
      <c r="F287" s="21"/>
      <c r="G287" s="21"/>
      <c r="H287" s="21"/>
      <c r="I287" s="21"/>
      <c r="J287" s="21"/>
      <c r="K287" s="107"/>
      <c r="L287" s="38"/>
      <c r="M287" s="107"/>
      <c r="N287" s="107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104"/>
      <c r="B288" s="104"/>
      <c r="C288" s="104"/>
      <c r="D288" s="104"/>
      <c r="E288" s="109"/>
      <c r="F288" s="21"/>
      <c r="G288" s="21"/>
      <c r="H288" s="21"/>
      <c r="I288" s="21"/>
      <c r="J288" s="21"/>
      <c r="K288" s="107"/>
      <c r="L288" s="38"/>
      <c r="M288" s="107"/>
      <c r="N288" s="107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104"/>
      <c r="B289" s="104"/>
      <c r="C289" s="104"/>
      <c r="D289" s="104"/>
      <c r="E289" s="109"/>
      <c r="F289" s="21"/>
      <c r="G289" s="21"/>
      <c r="H289" s="21"/>
      <c r="I289" s="21"/>
      <c r="J289" s="21"/>
      <c r="K289" s="107"/>
      <c r="L289" s="38"/>
      <c r="M289" s="107"/>
      <c r="N289" s="107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104"/>
      <c r="B290" s="104"/>
      <c r="C290" s="104"/>
      <c r="D290" s="104"/>
      <c r="E290" s="109"/>
      <c r="F290" s="21"/>
      <c r="G290" s="21"/>
      <c r="H290" s="21"/>
      <c r="I290" s="21"/>
      <c r="J290" s="21"/>
      <c r="K290" s="107"/>
      <c r="L290" s="38"/>
      <c r="M290" s="107"/>
      <c r="N290" s="107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104"/>
      <c r="B291" s="104"/>
      <c r="C291" s="104"/>
      <c r="D291" s="104"/>
      <c r="E291" s="109"/>
      <c r="F291" s="21"/>
      <c r="G291" s="21"/>
      <c r="H291" s="21"/>
      <c r="I291" s="21"/>
      <c r="J291" s="21"/>
      <c r="K291" s="107"/>
      <c r="L291" s="38"/>
      <c r="M291" s="107"/>
      <c r="N291" s="107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104"/>
      <c r="B292" s="104"/>
      <c r="C292" s="104"/>
      <c r="D292" s="104"/>
      <c r="E292" s="109"/>
      <c r="F292" s="21"/>
      <c r="G292" s="21"/>
      <c r="H292" s="21"/>
      <c r="I292" s="21"/>
      <c r="J292" s="21"/>
      <c r="K292" s="107"/>
      <c r="L292" s="38"/>
      <c r="M292" s="107"/>
      <c r="N292" s="107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104"/>
      <c r="B293" s="104"/>
      <c r="C293" s="104"/>
      <c r="D293" s="104"/>
      <c r="E293" s="109"/>
      <c r="F293" s="21"/>
      <c r="G293" s="21"/>
      <c r="H293" s="21"/>
      <c r="I293" s="21"/>
      <c r="J293" s="21"/>
      <c r="K293" s="107"/>
      <c r="L293" s="38"/>
      <c r="M293" s="107"/>
      <c r="N293" s="107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104"/>
      <c r="B294" s="104"/>
      <c r="C294" s="104"/>
      <c r="D294" s="104"/>
      <c r="E294" s="109"/>
      <c r="F294" s="21"/>
      <c r="G294" s="21"/>
      <c r="H294" s="21"/>
      <c r="I294" s="21"/>
      <c r="J294" s="21"/>
      <c r="K294" s="107"/>
      <c r="L294" s="38"/>
      <c r="M294" s="107"/>
      <c r="N294" s="107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104"/>
      <c r="B295" s="104"/>
      <c r="C295" s="104"/>
      <c r="D295" s="104"/>
      <c r="E295" s="109"/>
      <c r="F295" s="21"/>
      <c r="G295" s="21"/>
      <c r="H295" s="21"/>
      <c r="I295" s="21"/>
      <c r="J295" s="21"/>
      <c r="K295" s="107"/>
      <c r="L295" s="38"/>
      <c r="M295" s="107"/>
      <c r="N295" s="107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104"/>
      <c r="B296" s="104"/>
      <c r="C296" s="104"/>
      <c r="D296" s="104"/>
      <c r="E296" s="109"/>
      <c r="F296" s="21"/>
      <c r="G296" s="21"/>
      <c r="H296" s="21"/>
      <c r="I296" s="21"/>
      <c r="J296" s="21"/>
      <c r="K296" s="107"/>
      <c r="L296" s="38"/>
      <c r="M296" s="107"/>
      <c r="N296" s="107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104"/>
      <c r="B297" s="104"/>
      <c r="C297" s="104"/>
      <c r="D297" s="104"/>
      <c r="E297" s="109"/>
      <c r="F297" s="21"/>
      <c r="G297" s="21"/>
      <c r="H297" s="21"/>
      <c r="I297" s="21"/>
      <c r="J297" s="21"/>
      <c r="K297" s="107"/>
      <c r="L297" s="38"/>
      <c r="M297" s="107"/>
      <c r="N297" s="107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104"/>
      <c r="B298" s="104"/>
      <c r="C298" s="104"/>
      <c r="D298" s="104"/>
      <c r="E298" s="109"/>
      <c r="F298" s="21"/>
      <c r="G298" s="21"/>
      <c r="H298" s="21"/>
      <c r="I298" s="21"/>
      <c r="J298" s="21"/>
      <c r="K298" s="107"/>
      <c r="L298" s="38"/>
      <c r="M298" s="107"/>
      <c r="N298" s="107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104"/>
      <c r="B299" s="104"/>
      <c r="C299" s="104"/>
      <c r="D299" s="104"/>
      <c r="E299" s="109"/>
      <c r="F299" s="21"/>
      <c r="G299" s="21"/>
      <c r="H299" s="21"/>
      <c r="I299" s="21"/>
      <c r="J299" s="21"/>
      <c r="K299" s="107"/>
      <c r="L299" s="38"/>
      <c r="M299" s="107"/>
      <c r="N299" s="107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104"/>
      <c r="B300" s="104"/>
      <c r="C300" s="104"/>
      <c r="D300" s="104"/>
      <c r="E300" s="109"/>
      <c r="F300" s="21"/>
      <c r="G300" s="21"/>
      <c r="H300" s="21"/>
      <c r="I300" s="21"/>
      <c r="J300" s="21"/>
      <c r="K300" s="107"/>
      <c r="L300" s="38"/>
      <c r="M300" s="107"/>
      <c r="N300" s="107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104"/>
      <c r="B301" s="104"/>
      <c r="C301" s="104"/>
      <c r="D301" s="104"/>
      <c r="E301" s="109"/>
      <c r="F301" s="21"/>
      <c r="G301" s="21"/>
      <c r="H301" s="21"/>
      <c r="I301" s="21"/>
      <c r="J301" s="21"/>
      <c r="K301" s="107"/>
      <c r="L301" s="38"/>
      <c r="M301" s="107"/>
      <c r="N301" s="107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104"/>
      <c r="B302" s="104"/>
      <c r="C302" s="104"/>
      <c r="D302" s="104"/>
      <c r="E302" s="109"/>
      <c r="F302" s="21"/>
      <c r="G302" s="21"/>
      <c r="H302" s="21"/>
      <c r="I302" s="21"/>
      <c r="J302" s="21"/>
      <c r="K302" s="107"/>
      <c r="L302" s="38"/>
      <c r="M302" s="107"/>
      <c r="N302" s="107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9.14"/>
    <col customWidth="1" min="3" max="3" width="16.71"/>
    <col customWidth="1" min="4" max="26" width="8.71"/>
  </cols>
  <sheetData>
    <row r="1">
      <c r="A1" s="110" t="s">
        <v>206</v>
      </c>
      <c r="B1" s="110" t="s">
        <v>207</v>
      </c>
      <c r="C1" s="110" t="s">
        <v>208</v>
      </c>
    </row>
    <row r="2">
      <c r="A2" s="111" t="s">
        <v>34</v>
      </c>
      <c r="B2" s="111" t="s">
        <v>40</v>
      </c>
      <c r="C2" s="111">
        <v>3.0</v>
      </c>
    </row>
    <row r="3">
      <c r="A3" s="111" t="s">
        <v>34</v>
      </c>
      <c r="B3" s="111" t="s">
        <v>42</v>
      </c>
      <c r="C3" s="111">
        <v>3.0</v>
      </c>
    </row>
    <row r="4">
      <c r="A4" s="111" t="s">
        <v>34</v>
      </c>
      <c r="B4" s="111" t="s">
        <v>44</v>
      </c>
      <c r="C4" s="111">
        <v>3.0</v>
      </c>
    </row>
    <row r="5">
      <c r="A5" s="111" t="s">
        <v>34</v>
      </c>
      <c r="B5" s="111" t="s">
        <v>46</v>
      </c>
      <c r="C5" s="111">
        <v>3.0</v>
      </c>
    </row>
    <row r="6">
      <c r="A6" s="111" t="s">
        <v>34</v>
      </c>
      <c r="B6" s="111" t="s">
        <v>48</v>
      </c>
      <c r="C6" s="111">
        <v>3.0</v>
      </c>
    </row>
    <row r="7">
      <c r="A7" s="112"/>
      <c r="B7" s="112"/>
    </row>
    <row r="8">
      <c r="A8" s="112"/>
      <c r="B8" s="112"/>
    </row>
    <row r="9">
      <c r="A9" s="112"/>
      <c r="B9" s="112"/>
    </row>
    <row r="10">
      <c r="A10" s="112"/>
      <c r="B10" s="112"/>
    </row>
    <row r="11">
      <c r="A11" s="112"/>
      <c r="B11" s="112"/>
    </row>
    <row r="12">
      <c r="A12" s="112"/>
      <c r="B12" s="112"/>
    </row>
    <row r="13">
      <c r="A13" s="112"/>
      <c r="B13" s="112"/>
    </row>
    <row r="14">
      <c r="A14" s="112"/>
      <c r="B14" s="112"/>
    </row>
    <row r="15">
      <c r="A15" s="112"/>
      <c r="B15" s="112"/>
    </row>
    <row r="16">
      <c r="A16" s="112"/>
      <c r="B16" s="112"/>
    </row>
    <row r="17">
      <c r="A17" s="112"/>
      <c r="B17" s="112"/>
    </row>
    <row r="18">
      <c r="A18" s="112"/>
      <c r="B18" s="112"/>
    </row>
    <row r="19">
      <c r="A19" s="112"/>
      <c r="B19" s="112"/>
    </row>
    <row r="20">
      <c r="A20" s="112"/>
      <c r="B20" s="112"/>
    </row>
    <row r="21" ht="15.75" customHeight="1">
      <c r="A21" s="112"/>
      <c r="B21" s="112"/>
    </row>
    <row r="22" ht="15.75" customHeight="1">
      <c r="A22" s="112"/>
      <c r="B22" s="112"/>
    </row>
    <row r="23" ht="15.75" customHeight="1">
      <c r="A23" s="112"/>
      <c r="B23" s="112"/>
    </row>
    <row r="24" ht="15.75" customHeight="1">
      <c r="A24" s="112"/>
      <c r="B24" s="112"/>
    </row>
    <row r="25" ht="15.75" customHeight="1">
      <c r="A25" s="112"/>
      <c r="B25" s="112"/>
    </row>
    <row r="26" ht="15.75" customHeight="1">
      <c r="A26" s="112"/>
      <c r="B26" s="112"/>
    </row>
    <row r="27" ht="15.75" customHeight="1">
      <c r="A27" s="112"/>
      <c r="B27" s="112"/>
    </row>
    <row r="28" ht="15.75" customHeight="1">
      <c r="A28" s="112"/>
      <c r="B28" s="112"/>
    </row>
    <row r="29" ht="15.75" customHeight="1">
      <c r="A29" s="112"/>
      <c r="B29" s="112"/>
    </row>
    <row r="30" ht="15.75" customHeight="1">
      <c r="A30" s="112"/>
      <c r="B30" s="112"/>
    </row>
    <row r="31" ht="15.75" customHeight="1">
      <c r="A31" s="112"/>
      <c r="B31" s="112"/>
    </row>
    <row r="32" ht="15.75" customHeight="1">
      <c r="A32" s="112"/>
      <c r="B32" s="112"/>
    </row>
    <row r="33" ht="15.75" customHeight="1">
      <c r="A33" s="112"/>
      <c r="B33" s="112"/>
    </row>
    <row r="34" ht="15.75" customHeight="1">
      <c r="A34" s="112"/>
      <c r="B34" s="112"/>
    </row>
    <row r="35" ht="15.75" customHeight="1">
      <c r="A35" s="112"/>
      <c r="B35" s="112"/>
    </row>
    <row r="36" ht="15.75" customHeight="1">
      <c r="A36" s="112"/>
      <c r="B36" s="112"/>
    </row>
    <row r="37" ht="15.75" customHeight="1">
      <c r="A37" s="112"/>
      <c r="B37" s="112"/>
    </row>
    <row r="38" ht="15.75" customHeight="1">
      <c r="A38" s="112"/>
      <c r="B38" s="112"/>
    </row>
    <row r="39" ht="15.75" customHeight="1">
      <c r="A39" s="112"/>
      <c r="B39" s="112"/>
    </row>
    <row r="40" ht="15.75" customHeight="1">
      <c r="A40" s="112"/>
      <c r="B40" s="112"/>
    </row>
    <row r="41" ht="15.75" customHeight="1">
      <c r="A41" s="112"/>
      <c r="B41" s="112"/>
    </row>
    <row r="42" ht="15.75" customHeight="1">
      <c r="A42" s="112"/>
      <c r="B42" s="112"/>
    </row>
    <row r="43" ht="15.75" customHeight="1">
      <c r="A43" s="112"/>
      <c r="B43" s="112"/>
    </row>
    <row r="44" ht="15.75" customHeight="1">
      <c r="A44" s="112"/>
      <c r="B44" s="112"/>
    </row>
    <row r="45" ht="15.75" customHeight="1">
      <c r="A45" s="112"/>
      <c r="B45" s="112"/>
    </row>
    <row r="46" ht="15.75" customHeight="1">
      <c r="A46" s="112"/>
      <c r="B46" s="112"/>
    </row>
    <row r="47" ht="15.75" customHeight="1">
      <c r="A47" s="112"/>
      <c r="B47" s="112"/>
    </row>
    <row r="48" ht="15.75" customHeight="1">
      <c r="A48" s="112"/>
      <c r="B48" s="112"/>
    </row>
    <row r="49" ht="15.75" customHeight="1">
      <c r="A49" s="112"/>
      <c r="B49" s="112"/>
    </row>
    <row r="50" ht="15.75" customHeight="1">
      <c r="A50" s="112"/>
      <c r="B50" s="112"/>
    </row>
    <row r="51" ht="15.75" customHeight="1">
      <c r="A51" s="112"/>
      <c r="B51" s="112"/>
    </row>
    <row r="52" ht="15.75" customHeight="1">
      <c r="A52" s="112"/>
      <c r="B52" s="112"/>
    </row>
    <row r="53" ht="15.75" customHeight="1">
      <c r="A53" s="112"/>
      <c r="B53" s="112"/>
    </row>
    <row r="54" ht="15.75" customHeight="1">
      <c r="A54" s="112"/>
      <c r="B54" s="112"/>
    </row>
    <row r="55" ht="15.75" customHeight="1">
      <c r="A55" s="112"/>
      <c r="B55" s="112"/>
    </row>
    <row r="56" ht="15.75" customHeight="1">
      <c r="A56" s="112"/>
      <c r="B56" s="112"/>
    </row>
    <row r="57" ht="15.75" customHeight="1">
      <c r="A57" s="112"/>
      <c r="B57" s="112"/>
    </row>
    <row r="58" ht="15.75" customHeight="1">
      <c r="A58" s="112"/>
      <c r="B58" s="112"/>
    </row>
    <row r="59" ht="15.75" customHeight="1">
      <c r="A59" s="112"/>
      <c r="B59" s="112"/>
    </row>
    <row r="60" ht="15.75" customHeight="1">
      <c r="A60" s="112"/>
      <c r="B60" s="112"/>
    </row>
    <row r="61" ht="15.75" customHeight="1">
      <c r="A61" s="112"/>
      <c r="B61" s="112"/>
    </row>
    <row r="62" ht="15.75" customHeight="1">
      <c r="A62" s="112"/>
      <c r="B62" s="112"/>
    </row>
    <row r="63" ht="15.75" customHeight="1">
      <c r="A63" s="112"/>
      <c r="B63" s="112"/>
    </row>
    <row r="64" ht="15.75" customHeight="1">
      <c r="A64" s="112"/>
      <c r="B64" s="112"/>
    </row>
    <row r="65" ht="15.75" customHeight="1">
      <c r="A65" s="112"/>
      <c r="B65" s="112"/>
    </row>
    <row r="66" ht="15.75" customHeight="1">
      <c r="A66" s="112"/>
      <c r="B66" s="112"/>
    </row>
    <row r="67" ht="15.75" customHeight="1">
      <c r="A67" s="112"/>
      <c r="B67" s="112"/>
    </row>
    <row r="68" ht="15.75" customHeight="1">
      <c r="A68" s="112"/>
      <c r="B68" s="112"/>
    </row>
    <row r="69" ht="15.75" customHeight="1">
      <c r="A69" s="112"/>
      <c r="B69" s="112"/>
    </row>
    <row r="70" ht="15.75" customHeight="1">
      <c r="A70" s="112"/>
      <c r="B70" s="112"/>
    </row>
    <row r="71" ht="15.75" customHeight="1">
      <c r="A71" s="112"/>
      <c r="B71" s="112"/>
    </row>
    <row r="72" ht="15.75" customHeight="1">
      <c r="A72" s="112"/>
      <c r="B72" s="112"/>
    </row>
    <row r="73" ht="15.75" customHeight="1">
      <c r="A73" s="112"/>
      <c r="B73" s="112"/>
    </row>
    <row r="74" ht="15.75" customHeight="1">
      <c r="A74" s="112"/>
      <c r="B74" s="112"/>
    </row>
    <row r="75" ht="15.75" customHeight="1">
      <c r="A75" s="112"/>
      <c r="B75" s="112"/>
    </row>
    <row r="76" ht="15.75" customHeight="1">
      <c r="A76" s="112"/>
      <c r="B76" s="112"/>
    </row>
    <row r="77" ht="15.75" customHeight="1">
      <c r="A77" s="112"/>
      <c r="B77" s="112"/>
    </row>
    <row r="78" ht="15.75" customHeight="1">
      <c r="A78" s="112"/>
      <c r="B78" s="112"/>
    </row>
    <row r="79" ht="15.75" customHeight="1">
      <c r="A79" s="112"/>
      <c r="B79" s="112"/>
    </row>
    <row r="80" ht="15.75" customHeight="1">
      <c r="A80" s="112"/>
      <c r="B80" s="112"/>
    </row>
    <row r="81" ht="15.75" customHeight="1">
      <c r="A81" s="112"/>
      <c r="B81" s="112"/>
    </row>
    <row r="82" ht="15.75" customHeight="1">
      <c r="A82" s="112"/>
      <c r="B82" s="112"/>
    </row>
    <row r="83" ht="15.75" customHeight="1">
      <c r="A83" s="112"/>
      <c r="B83" s="112"/>
    </row>
    <row r="84" ht="15.75" customHeight="1">
      <c r="A84" s="112"/>
      <c r="B84" s="112"/>
    </row>
    <row r="85" ht="15.75" customHeight="1">
      <c r="A85" s="112"/>
      <c r="B85" s="112"/>
    </row>
    <row r="86" ht="15.75" customHeight="1">
      <c r="A86" s="112"/>
      <c r="B86" s="112"/>
    </row>
    <row r="87" ht="15.75" customHeight="1">
      <c r="A87" s="112"/>
      <c r="B87" s="112"/>
    </row>
    <row r="88" ht="15.75" customHeight="1">
      <c r="A88" s="112"/>
      <c r="B88" s="112"/>
    </row>
    <row r="89" ht="15.75" customHeight="1">
      <c r="A89" s="112"/>
      <c r="B89" s="112"/>
    </row>
    <row r="90" ht="15.75" customHeight="1">
      <c r="A90" s="112"/>
      <c r="B90" s="112"/>
    </row>
    <row r="91" ht="15.75" customHeight="1">
      <c r="A91" s="112"/>
      <c r="B91" s="112"/>
    </row>
    <row r="92" ht="15.75" customHeight="1">
      <c r="A92" s="112"/>
      <c r="B92" s="112"/>
    </row>
    <row r="93" ht="15.75" customHeight="1">
      <c r="A93" s="112"/>
      <c r="B93" s="112"/>
    </row>
    <row r="94" ht="15.75" customHeight="1">
      <c r="A94" s="112"/>
      <c r="B94" s="112"/>
    </row>
    <row r="95" ht="15.75" customHeight="1">
      <c r="A95" s="112"/>
      <c r="B95" s="112"/>
    </row>
    <row r="96" ht="15.75" customHeight="1">
      <c r="A96" s="112"/>
      <c r="B96" s="112"/>
    </row>
    <row r="97" ht="15.75" customHeight="1">
      <c r="A97" s="112"/>
      <c r="B97" s="112"/>
    </row>
    <row r="98" ht="15.75" customHeight="1">
      <c r="A98" s="112"/>
      <c r="B98" s="112"/>
    </row>
    <row r="99" ht="15.75" customHeight="1">
      <c r="A99" s="112"/>
      <c r="B99" s="112"/>
    </row>
    <row r="100" ht="15.75" customHeight="1">
      <c r="A100" s="112"/>
      <c r="B100" s="112"/>
    </row>
    <row r="101" ht="15.75" customHeight="1">
      <c r="A101" s="112"/>
      <c r="B101" s="112"/>
    </row>
    <row r="102" ht="15.75" customHeight="1">
      <c r="A102" s="112"/>
      <c r="B102" s="112"/>
    </row>
    <row r="103" ht="15.75" customHeight="1">
      <c r="A103" s="112"/>
      <c r="B103" s="112"/>
    </row>
    <row r="104" ht="15.75" customHeight="1">
      <c r="A104" s="112"/>
      <c r="B104" s="112"/>
    </row>
    <row r="105" ht="15.75" customHeight="1">
      <c r="A105" s="112"/>
      <c r="B105" s="112"/>
    </row>
    <row r="106" ht="15.75" customHeight="1">
      <c r="A106" s="112"/>
      <c r="B106" s="112"/>
    </row>
    <row r="107" ht="15.75" customHeight="1">
      <c r="A107" s="112"/>
      <c r="B107" s="112"/>
    </row>
    <row r="108" ht="15.75" customHeight="1">
      <c r="A108" s="112"/>
      <c r="B108" s="112"/>
    </row>
    <row r="109" ht="15.75" customHeight="1">
      <c r="A109" s="112"/>
      <c r="B109" s="112"/>
    </row>
    <row r="110" ht="15.75" customHeight="1">
      <c r="A110" s="112"/>
      <c r="B110" s="112"/>
    </row>
    <row r="111" ht="15.75" customHeight="1">
      <c r="A111" s="112"/>
      <c r="B111" s="112"/>
    </row>
    <row r="112" ht="15.75" customHeight="1">
      <c r="A112" s="112"/>
      <c r="B112" s="112"/>
    </row>
    <row r="113" ht="15.75" customHeight="1">
      <c r="A113" s="112"/>
      <c r="B113" s="112"/>
    </row>
    <row r="114" ht="15.75" customHeight="1">
      <c r="A114" s="112"/>
      <c r="B114" s="112"/>
    </row>
    <row r="115" ht="15.75" customHeight="1">
      <c r="A115" s="112"/>
      <c r="B115" s="112"/>
    </row>
    <row r="116" ht="15.75" customHeight="1">
      <c r="A116" s="112"/>
      <c r="B116" s="112"/>
    </row>
    <row r="117" ht="15.75" customHeight="1">
      <c r="A117" s="112"/>
      <c r="B117" s="112"/>
    </row>
    <row r="118" ht="15.75" customHeight="1">
      <c r="A118" s="112"/>
      <c r="B118" s="112"/>
    </row>
    <row r="119" ht="15.75" customHeight="1">
      <c r="A119" s="112"/>
      <c r="B119" s="112"/>
    </row>
    <row r="120" ht="15.75" customHeight="1">
      <c r="A120" s="112"/>
      <c r="B120" s="112"/>
    </row>
    <row r="121" ht="15.75" customHeight="1">
      <c r="A121" s="112"/>
      <c r="B121" s="112"/>
    </row>
    <row r="122" ht="15.75" customHeight="1">
      <c r="A122" s="112"/>
      <c r="B122" s="112"/>
    </row>
    <row r="123" ht="15.75" customHeight="1">
      <c r="A123" s="112"/>
      <c r="B123" s="112"/>
    </row>
    <row r="124" ht="15.75" customHeight="1">
      <c r="A124" s="112"/>
      <c r="B124" s="112"/>
    </row>
    <row r="125" ht="15.75" customHeight="1">
      <c r="A125" s="112"/>
      <c r="B125" s="112"/>
    </row>
    <row r="126" ht="15.75" customHeight="1">
      <c r="A126" s="112"/>
      <c r="B126" s="112"/>
    </row>
    <row r="127" ht="15.75" customHeight="1">
      <c r="A127" s="112"/>
      <c r="B127" s="112"/>
    </row>
    <row r="128" ht="15.75" customHeight="1">
      <c r="A128" s="112"/>
      <c r="B128" s="112"/>
    </row>
    <row r="129" ht="15.75" customHeight="1">
      <c r="A129" s="112"/>
      <c r="B129" s="112"/>
    </row>
    <row r="130" ht="15.75" customHeight="1">
      <c r="A130" s="112"/>
      <c r="B130" s="112"/>
    </row>
    <row r="131" ht="15.75" customHeight="1">
      <c r="A131" s="112"/>
      <c r="B131" s="112"/>
    </row>
    <row r="132" ht="15.75" customHeight="1">
      <c r="A132" s="112"/>
      <c r="B132" s="112"/>
    </row>
    <row r="133" ht="15.75" customHeight="1">
      <c r="A133" s="112"/>
      <c r="B133" s="112"/>
    </row>
    <row r="134" ht="15.75" customHeight="1">
      <c r="A134" s="112"/>
      <c r="B134" s="112"/>
    </row>
    <row r="135" ht="15.75" customHeight="1">
      <c r="A135" s="112"/>
      <c r="B135" s="112"/>
    </row>
    <row r="136" ht="15.75" customHeight="1">
      <c r="A136" s="112"/>
      <c r="B136" s="112"/>
    </row>
    <row r="137" ht="15.75" customHeight="1">
      <c r="A137" s="112"/>
      <c r="B137" s="112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137">
      <formula1>"Ciên,Ed.Fís,Geo,His,Ing,Lab.Ciê,Mat,Port,Regencia,Tecn,Arte2,LET,NUM,SUS,EM,PLE"</formula1>
    </dataValidation>
    <dataValidation type="list" allowBlank="1" showErrorMessage="1" sqref="A2:A137">
      <formula1>"Arte,Ciên,Ed.Fís,Geo,His,Ing,Lab.Ciê,Mat,Port,Regencia,Tecn,Arte2,LET,NUM,SUS,EM"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12" t="s">
        <v>13</v>
      </c>
    </row>
    <row r="2">
      <c r="A2" s="112" t="s">
        <v>18</v>
      </c>
    </row>
    <row r="3">
      <c r="A3" s="112" t="s">
        <v>21</v>
      </c>
    </row>
    <row r="4">
      <c r="A4" s="112" t="s">
        <v>23</v>
      </c>
    </row>
    <row r="5">
      <c r="A5" s="112" t="s">
        <v>26</v>
      </c>
    </row>
    <row r="6">
      <c r="A6" s="112" t="s">
        <v>28</v>
      </c>
    </row>
    <row r="7">
      <c r="A7" s="112" t="s">
        <v>30</v>
      </c>
    </row>
    <row r="8">
      <c r="A8" s="112" t="s">
        <v>32</v>
      </c>
    </row>
    <row r="9">
      <c r="A9" s="112" t="s">
        <v>34</v>
      </c>
    </row>
    <row r="10">
      <c r="A10" s="112" t="s">
        <v>36</v>
      </c>
    </row>
    <row r="11">
      <c r="A11" s="112" t="s">
        <v>38</v>
      </c>
    </row>
    <row r="12">
      <c r="A12" s="112" t="s">
        <v>40</v>
      </c>
    </row>
    <row r="13">
      <c r="A13" s="112" t="s">
        <v>42</v>
      </c>
    </row>
    <row r="14">
      <c r="A14" s="112" t="s">
        <v>44</v>
      </c>
    </row>
    <row r="15">
      <c r="A15" s="112" t="s">
        <v>46</v>
      </c>
    </row>
    <row r="16">
      <c r="A16" s="11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2015-01-25T03:21:13Z</dcterms:created>
  <dc:creator>André</dc:creator>
</cp:coreProperties>
</file>